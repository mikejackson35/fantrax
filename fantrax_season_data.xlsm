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kej\Desktop\fantrax\"/>
    </mc:Choice>
  </mc:AlternateContent>
  <xr:revisionPtr revIDLastSave="0" documentId="13_ncr:1_{D35A2613-41C4-4345-9CEE-2F4DA5B29E73}" xr6:coauthVersionLast="47" xr6:coauthVersionMax="47" xr10:uidLastSave="{00000000-0000-0000-0000-000000000000}"/>
  <bookViews>
    <workbookView xWindow="-28920" yWindow="-15" windowWidth="29040" windowHeight="15720" xr2:uid="{07F0E8A2-B085-48D6-8C22-D5DAFC001C38}"/>
  </bookViews>
  <sheets>
    <sheet name="season_level" sheetId="9" r:id="rId1"/>
    <sheet name="player_level" sheetId="12" r:id="rId2"/>
    <sheet name="1" sheetId="2" r:id="rId3"/>
    <sheet name="2" sheetId="3" r:id="rId4"/>
    <sheet name="3" sheetId="4" r:id="rId5"/>
    <sheet name="4" sheetId="5" r:id="rId6"/>
    <sheet name="5" sheetId="6" r:id="rId7"/>
    <sheet name="6" sheetId="7" r:id="rId8"/>
    <sheet name="7" sheetId="8" r:id="rId9"/>
    <sheet name="8" sheetId="10" r:id="rId10"/>
    <sheet name="9" sheetId="11" r:id="rId11"/>
    <sheet name="10" sheetId="13" r:id="rId12"/>
    <sheet name="11" sheetId="14" r:id="rId13"/>
    <sheet name="12" sheetId="15" r:id="rId14"/>
    <sheet name="13" sheetId="16" r:id="rId15"/>
    <sheet name="14" sheetId="17" r:id="rId16"/>
    <sheet name="15" sheetId="18" r:id="rId17"/>
    <sheet name="16" sheetId="19" r:id="rId18"/>
    <sheet name="17" sheetId="20" r:id="rId19"/>
    <sheet name="18" sheetId="21" r:id="rId20"/>
  </sheets>
  <definedNames>
    <definedName name="_xlnm._FilterDatabase" localSheetId="1" hidden="1">player_level!$A$1:$Z$164</definedName>
    <definedName name="_xlnm._FilterDatabase" localSheetId="0" hidden="1">season_level!$A$1:$AO$121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38" i="9" l="1"/>
  <c r="Y138" i="9"/>
  <c r="Z138" i="9"/>
  <c r="AA138" i="9"/>
  <c r="AB138" i="9"/>
  <c r="AC138" i="9"/>
  <c r="AD138" i="9"/>
  <c r="AM138" i="9" s="1"/>
  <c r="AE138" i="9"/>
  <c r="AF138" i="9"/>
  <c r="AG138" i="9"/>
  <c r="AH138" i="9"/>
  <c r="AI138" i="9"/>
  <c r="AJ138" i="9"/>
  <c r="AK138" i="9"/>
  <c r="AL138" i="9"/>
  <c r="AN138" i="9"/>
  <c r="X139" i="9"/>
  <c r="Y139" i="9"/>
  <c r="AL139" i="9" s="1"/>
  <c r="Z139" i="9"/>
  <c r="AA139" i="9"/>
  <c r="AB139" i="9"/>
  <c r="AC139" i="9"/>
  <c r="AD139" i="9"/>
  <c r="AE139" i="9"/>
  <c r="AF139" i="9"/>
  <c r="AG139" i="9"/>
  <c r="AH139" i="9"/>
  <c r="AM139" i="9" s="1"/>
  <c r="AI139" i="9"/>
  <c r="AJ139" i="9"/>
  <c r="AK139" i="9"/>
  <c r="AN139" i="9"/>
  <c r="X140" i="9"/>
  <c r="AL140" i="9" s="1"/>
  <c r="Y140" i="9"/>
  <c r="Z140" i="9"/>
  <c r="AA140" i="9"/>
  <c r="AB140" i="9"/>
  <c r="AC140" i="9"/>
  <c r="AD140" i="9"/>
  <c r="AE140" i="9"/>
  <c r="AF140" i="9"/>
  <c r="AG140" i="9"/>
  <c r="AH140" i="9"/>
  <c r="AI140" i="9"/>
  <c r="AJ140" i="9"/>
  <c r="AK140" i="9"/>
  <c r="AN140" i="9"/>
  <c r="X141" i="9"/>
  <c r="Y141" i="9"/>
  <c r="Z141" i="9"/>
  <c r="AA141" i="9"/>
  <c r="AB141" i="9"/>
  <c r="AC141" i="9"/>
  <c r="AD141" i="9"/>
  <c r="AM141" i="9" s="1"/>
  <c r="AE141" i="9"/>
  <c r="AF141" i="9"/>
  <c r="AG141" i="9"/>
  <c r="AH141" i="9"/>
  <c r="AI141" i="9"/>
  <c r="AJ141" i="9"/>
  <c r="AK141" i="9"/>
  <c r="AL141" i="9"/>
  <c r="AN141" i="9"/>
  <c r="X142" i="9"/>
  <c r="AL142" i="9" s="1"/>
  <c r="Y142" i="9"/>
  <c r="Z142" i="9"/>
  <c r="AA142" i="9"/>
  <c r="AB142" i="9"/>
  <c r="AC142" i="9"/>
  <c r="AD142" i="9"/>
  <c r="AM142" i="9" s="1"/>
  <c r="AE142" i="9"/>
  <c r="AF142" i="9"/>
  <c r="AG142" i="9"/>
  <c r="AH142" i="9"/>
  <c r="AI142" i="9"/>
  <c r="AJ142" i="9"/>
  <c r="AK142" i="9"/>
  <c r="AN142" i="9"/>
  <c r="X143" i="9"/>
  <c r="AL143" i="9" s="1"/>
  <c r="Y143" i="9"/>
  <c r="Z143" i="9"/>
  <c r="AA143" i="9"/>
  <c r="AB143" i="9"/>
  <c r="AC143" i="9"/>
  <c r="AD143" i="9"/>
  <c r="AE143" i="9"/>
  <c r="AF143" i="9"/>
  <c r="AG143" i="9"/>
  <c r="AH143" i="9"/>
  <c r="AI143" i="9"/>
  <c r="AJ143" i="9"/>
  <c r="AK143" i="9"/>
  <c r="AN143" i="9"/>
  <c r="X144" i="9"/>
  <c r="Y144" i="9"/>
  <c r="Z144" i="9"/>
  <c r="AA144" i="9"/>
  <c r="AB144" i="9"/>
  <c r="AC144" i="9"/>
  <c r="AD144" i="9"/>
  <c r="AE144" i="9"/>
  <c r="AF144" i="9"/>
  <c r="AG144" i="9"/>
  <c r="AH144" i="9"/>
  <c r="AI144" i="9"/>
  <c r="AJ144" i="9"/>
  <c r="AK144" i="9"/>
  <c r="AL144" i="9"/>
  <c r="AM144" i="9"/>
  <c r="W144" i="9" s="1"/>
  <c r="AN144" i="9"/>
  <c r="X145" i="9"/>
  <c r="Y145" i="9"/>
  <c r="Z145" i="9"/>
  <c r="AL145" i="9" s="1"/>
  <c r="AA145" i="9"/>
  <c r="AB145" i="9"/>
  <c r="AC145" i="9"/>
  <c r="AD145" i="9"/>
  <c r="AE145" i="9"/>
  <c r="AF145" i="9"/>
  <c r="AG145" i="9"/>
  <c r="AH145" i="9"/>
  <c r="AI145" i="9"/>
  <c r="AJ145" i="9"/>
  <c r="AK145" i="9"/>
  <c r="AN145" i="9"/>
  <c r="X130" i="9"/>
  <c r="Y130" i="9"/>
  <c r="Z130" i="9"/>
  <c r="AA130" i="9"/>
  <c r="AB130" i="9"/>
  <c r="AC130" i="9"/>
  <c r="AD130" i="9"/>
  <c r="AM130" i="9" s="1"/>
  <c r="AE130" i="9"/>
  <c r="AF130" i="9"/>
  <c r="AG130" i="9"/>
  <c r="AH130" i="9"/>
  <c r="AI130" i="9"/>
  <c r="AJ130" i="9"/>
  <c r="AK130" i="9"/>
  <c r="AL130" i="9"/>
  <c r="AN130" i="9"/>
  <c r="X131" i="9"/>
  <c r="AL131" i="9" s="1"/>
  <c r="Y131" i="9"/>
  <c r="Z131" i="9"/>
  <c r="AA131" i="9"/>
  <c r="AB131" i="9"/>
  <c r="AC131" i="9"/>
  <c r="AD131" i="9"/>
  <c r="AE131" i="9"/>
  <c r="AF131" i="9"/>
  <c r="AM131" i="9" s="1"/>
  <c r="AG131" i="9"/>
  <c r="AH131" i="9"/>
  <c r="AI131" i="9"/>
  <c r="AJ131" i="9"/>
  <c r="AK131" i="9"/>
  <c r="AN131" i="9"/>
  <c r="X132" i="9"/>
  <c r="AL132" i="9" s="1"/>
  <c r="Y132" i="9"/>
  <c r="Z132" i="9"/>
  <c r="AA132" i="9"/>
  <c r="AB132" i="9"/>
  <c r="AC132" i="9"/>
  <c r="AD132" i="9"/>
  <c r="AE132" i="9"/>
  <c r="AF132" i="9"/>
  <c r="AM132" i="9" s="1"/>
  <c r="AG132" i="9"/>
  <c r="AH132" i="9"/>
  <c r="AI132" i="9"/>
  <c r="AJ132" i="9"/>
  <c r="AK132" i="9"/>
  <c r="AN132" i="9"/>
  <c r="X133" i="9"/>
  <c r="Y133" i="9"/>
  <c r="AL133" i="9" s="1"/>
  <c r="Z133" i="9"/>
  <c r="AA133" i="9"/>
  <c r="AB133" i="9"/>
  <c r="AC133" i="9"/>
  <c r="AD133" i="9"/>
  <c r="AE133" i="9"/>
  <c r="AF133" i="9"/>
  <c r="AG133" i="9"/>
  <c r="AH133" i="9"/>
  <c r="AI133" i="9"/>
  <c r="AJ133" i="9"/>
  <c r="AK133" i="9"/>
  <c r="AN133" i="9"/>
  <c r="X134" i="9"/>
  <c r="AL134" i="9" s="1"/>
  <c r="Y134" i="9"/>
  <c r="Z134" i="9"/>
  <c r="AA134" i="9"/>
  <c r="AB134" i="9"/>
  <c r="AC134" i="9"/>
  <c r="AD134" i="9"/>
  <c r="AE134" i="9"/>
  <c r="AF134" i="9"/>
  <c r="AG134" i="9"/>
  <c r="AH134" i="9"/>
  <c r="AI134" i="9"/>
  <c r="AJ134" i="9"/>
  <c r="AK134" i="9"/>
  <c r="AN134" i="9"/>
  <c r="X135" i="9"/>
  <c r="Y135" i="9"/>
  <c r="Z135" i="9"/>
  <c r="AA135" i="9"/>
  <c r="AB135" i="9"/>
  <c r="AC135" i="9"/>
  <c r="AD135" i="9"/>
  <c r="AE135" i="9"/>
  <c r="AF135" i="9"/>
  <c r="AG135" i="9"/>
  <c r="AH135" i="9"/>
  <c r="AI135" i="9"/>
  <c r="AJ135" i="9"/>
  <c r="AK135" i="9"/>
  <c r="AL135" i="9"/>
  <c r="AM135" i="9"/>
  <c r="AO135" i="9" s="1"/>
  <c r="AN135" i="9"/>
  <c r="X136" i="9"/>
  <c r="AL136" i="9" s="1"/>
  <c r="Y136" i="9"/>
  <c r="Z136" i="9"/>
  <c r="AA136" i="9"/>
  <c r="AB136" i="9"/>
  <c r="AC136" i="9"/>
  <c r="AD136" i="9"/>
  <c r="AE136" i="9"/>
  <c r="AF136" i="9"/>
  <c r="AM136" i="9" s="1"/>
  <c r="AG136" i="9"/>
  <c r="AH136" i="9"/>
  <c r="AI136" i="9"/>
  <c r="AJ136" i="9"/>
  <c r="AK136" i="9"/>
  <c r="AN136" i="9"/>
  <c r="X137" i="9"/>
  <c r="AL137" i="9" s="1"/>
  <c r="Y137" i="9"/>
  <c r="Z137" i="9"/>
  <c r="AA137" i="9"/>
  <c r="AB137" i="9"/>
  <c r="AC137" i="9"/>
  <c r="AD137" i="9"/>
  <c r="AE137" i="9"/>
  <c r="AF137" i="9"/>
  <c r="AM137" i="9" s="1"/>
  <c r="AG137" i="9"/>
  <c r="AH137" i="9"/>
  <c r="AI137" i="9"/>
  <c r="AJ137" i="9"/>
  <c r="AK137" i="9"/>
  <c r="AN137" i="9"/>
  <c r="X122" i="9"/>
  <c r="Y122" i="9"/>
  <c r="Z122" i="9"/>
  <c r="AA122" i="9"/>
  <c r="AB122" i="9"/>
  <c r="AL122" i="9" s="1"/>
  <c r="AC122" i="9"/>
  <c r="AD122" i="9"/>
  <c r="AM122" i="9" s="1"/>
  <c r="AE122" i="9"/>
  <c r="AF122" i="9"/>
  <c r="AG122" i="9"/>
  <c r="AH122" i="9"/>
  <c r="AI122" i="9"/>
  <c r="AJ122" i="9"/>
  <c r="AK122" i="9"/>
  <c r="AN122" i="9"/>
  <c r="X123" i="9"/>
  <c r="Y123" i="9"/>
  <c r="AL123" i="9" s="1"/>
  <c r="Z123" i="9"/>
  <c r="AA123" i="9"/>
  <c r="AB123" i="9"/>
  <c r="AC123" i="9"/>
  <c r="AD123" i="9"/>
  <c r="AE123" i="9"/>
  <c r="AF123" i="9"/>
  <c r="AG123" i="9"/>
  <c r="AM123" i="9" s="1"/>
  <c r="AH123" i="9"/>
  <c r="AI123" i="9"/>
  <c r="AJ123" i="9"/>
  <c r="AK123" i="9"/>
  <c r="AN123" i="9"/>
  <c r="X124" i="9"/>
  <c r="AL124" i="9" s="1"/>
  <c r="Y124" i="9"/>
  <c r="Z124" i="9"/>
  <c r="AA124" i="9"/>
  <c r="AB124" i="9"/>
  <c r="AC124" i="9"/>
  <c r="AD124" i="9"/>
  <c r="AE124" i="9"/>
  <c r="AF124" i="9"/>
  <c r="AG124" i="9"/>
  <c r="AH124" i="9"/>
  <c r="AI124" i="9"/>
  <c r="AJ124" i="9"/>
  <c r="AK124" i="9"/>
  <c r="AN124" i="9"/>
  <c r="X125" i="9"/>
  <c r="Y125" i="9"/>
  <c r="Z125" i="9"/>
  <c r="AA125" i="9"/>
  <c r="AL125" i="9" s="1"/>
  <c r="AB125" i="9"/>
  <c r="AC125" i="9"/>
  <c r="AD125" i="9"/>
  <c r="AM125" i="9" s="1"/>
  <c r="AE125" i="9"/>
  <c r="AF125" i="9"/>
  <c r="AG125" i="9"/>
  <c r="AH125" i="9"/>
  <c r="AI125" i="9"/>
  <c r="AJ125" i="9"/>
  <c r="AK125" i="9"/>
  <c r="AN125" i="9"/>
  <c r="X126" i="9"/>
  <c r="AL126" i="9" s="1"/>
  <c r="Y126" i="9"/>
  <c r="Z126" i="9"/>
  <c r="AA126" i="9"/>
  <c r="AB126" i="9"/>
  <c r="AC126" i="9"/>
  <c r="AD126" i="9"/>
  <c r="AM126" i="9" s="1"/>
  <c r="AE126" i="9"/>
  <c r="AF126" i="9"/>
  <c r="AG126" i="9"/>
  <c r="AH126" i="9"/>
  <c r="AI126" i="9"/>
  <c r="AJ126" i="9"/>
  <c r="AK126" i="9"/>
  <c r="AN126" i="9"/>
  <c r="X127" i="9"/>
  <c r="AL127" i="9" s="1"/>
  <c r="AM127" i="9" s="1"/>
  <c r="Y127" i="9"/>
  <c r="Z127" i="9"/>
  <c r="AA127" i="9"/>
  <c r="AB127" i="9"/>
  <c r="AC127" i="9"/>
  <c r="AD127" i="9"/>
  <c r="AE127" i="9"/>
  <c r="AF127" i="9"/>
  <c r="AG127" i="9"/>
  <c r="AH127" i="9"/>
  <c r="AI127" i="9"/>
  <c r="AJ127" i="9"/>
  <c r="AK127" i="9"/>
  <c r="AN127" i="9"/>
  <c r="X128" i="9"/>
  <c r="AL128" i="9" s="1"/>
  <c r="Y128" i="9"/>
  <c r="Z128" i="9"/>
  <c r="AA128" i="9"/>
  <c r="AB128" i="9"/>
  <c r="AC128" i="9"/>
  <c r="AD128" i="9"/>
  <c r="AE128" i="9"/>
  <c r="AF128" i="9"/>
  <c r="AG128" i="9"/>
  <c r="AH128" i="9"/>
  <c r="AI128" i="9"/>
  <c r="AJ128" i="9"/>
  <c r="AK128" i="9"/>
  <c r="AN128" i="9"/>
  <c r="X129" i="9"/>
  <c r="AL129" i="9" s="1"/>
  <c r="Y129" i="9"/>
  <c r="Z129" i="9"/>
  <c r="AA129" i="9"/>
  <c r="AB129" i="9"/>
  <c r="AC129" i="9"/>
  <c r="AD129" i="9"/>
  <c r="AE129" i="9"/>
  <c r="AF129" i="9"/>
  <c r="AG129" i="9"/>
  <c r="AH129" i="9"/>
  <c r="AI129" i="9"/>
  <c r="AJ129" i="9"/>
  <c r="AK129" i="9"/>
  <c r="AN129" i="9"/>
  <c r="X114" i="9"/>
  <c r="Y114" i="9"/>
  <c r="Z114" i="9"/>
  <c r="AA114" i="9"/>
  <c r="AB114" i="9"/>
  <c r="AC114" i="9"/>
  <c r="AD114" i="9"/>
  <c r="AE114" i="9"/>
  <c r="AF114" i="9"/>
  <c r="AG114" i="9"/>
  <c r="AH114" i="9"/>
  <c r="AI114" i="9"/>
  <c r="AJ114" i="9"/>
  <c r="AK114" i="9"/>
  <c r="AN114" i="9"/>
  <c r="X115" i="9"/>
  <c r="Y115" i="9"/>
  <c r="Z115" i="9"/>
  <c r="AA115" i="9"/>
  <c r="AB115" i="9"/>
  <c r="AC115" i="9"/>
  <c r="AD115" i="9"/>
  <c r="AE115" i="9"/>
  <c r="AF115" i="9"/>
  <c r="AG115" i="9"/>
  <c r="AH115" i="9"/>
  <c r="AI115" i="9"/>
  <c r="AJ115" i="9"/>
  <c r="AK115" i="9"/>
  <c r="AN115" i="9"/>
  <c r="X116" i="9"/>
  <c r="Y116" i="9"/>
  <c r="Z116" i="9"/>
  <c r="AA116" i="9"/>
  <c r="AB116" i="9"/>
  <c r="AC116" i="9"/>
  <c r="AD116" i="9"/>
  <c r="AE116" i="9"/>
  <c r="AF116" i="9"/>
  <c r="AG116" i="9"/>
  <c r="AH116" i="9"/>
  <c r="AI116" i="9"/>
  <c r="AJ116" i="9"/>
  <c r="AK116" i="9"/>
  <c r="AN116" i="9"/>
  <c r="X117" i="9"/>
  <c r="Y117" i="9"/>
  <c r="Z117" i="9"/>
  <c r="AA117" i="9"/>
  <c r="AB117" i="9"/>
  <c r="AC117" i="9"/>
  <c r="AD117" i="9"/>
  <c r="AE117" i="9"/>
  <c r="AF117" i="9"/>
  <c r="AG117" i="9"/>
  <c r="AH117" i="9"/>
  <c r="AI117" i="9"/>
  <c r="AJ117" i="9"/>
  <c r="AK117" i="9"/>
  <c r="AN117" i="9"/>
  <c r="X118" i="9"/>
  <c r="Y118" i="9"/>
  <c r="Z118" i="9"/>
  <c r="AA118" i="9"/>
  <c r="AB118" i="9"/>
  <c r="AC118" i="9"/>
  <c r="AD118" i="9"/>
  <c r="AE118" i="9"/>
  <c r="AF118" i="9"/>
  <c r="AG118" i="9"/>
  <c r="AH118" i="9"/>
  <c r="AI118" i="9"/>
  <c r="AJ118" i="9"/>
  <c r="AK118" i="9"/>
  <c r="AN118" i="9"/>
  <c r="X119" i="9"/>
  <c r="Y119" i="9"/>
  <c r="Z119" i="9"/>
  <c r="AA119" i="9"/>
  <c r="AB119" i="9"/>
  <c r="AC119" i="9"/>
  <c r="AD119" i="9"/>
  <c r="AE119" i="9"/>
  <c r="AF119" i="9"/>
  <c r="AG119" i="9"/>
  <c r="AH119" i="9"/>
  <c r="AI119" i="9"/>
  <c r="AJ119" i="9"/>
  <c r="AK119" i="9"/>
  <c r="AN119" i="9"/>
  <c r="X120" i="9"/>
  <c r="Y120" i="9"/>
  <c r="Z120" i="9"/>
  <c r="AA120" i="9"/>
  <c r="AB120" i="9"/>
  <c r="AC120" i="9"/>
  <c r="AD120" i="9"/>
  <c r="AE120" i="9"/>
  <c r="AF120" i="9"/>
  <c r="AG120" i="9"/>
  <c r="AH120" i="9"/>
  <c r="AI120" i="9"/>
  <c r="AJ120" i="9"/>
  <c r="AK120" i="9"/>
  <c r="AN120" i="9"/>
  <c r="X121" i="9"/>
  <c r="Y121" i="9"/>
  <c r="Z121" i="9"/>
  <c r="AA121" i="9"/>
  <c r="AB121" i="9"/>
  <c r="AC121" i="9"/>
  <c r="AD121" i="9"/>
  <c r="AE121" i="9"/>
  <c r="AF121" i="9"/>
  <c r="AG121" i="9"/>
  <c r="AH121" i="9"/>
  <c r="AI121" i="9"/>
  <c r="AJ121" i="9"/>
  <c r="AK121" i="9"/>
  <c r="AN121" i="9"/>
  <c r="X106" i="9"/>
  <c r="AL106" i="9" s="1"/>
  <c r="Y106" i="9"/>
  <c r="Z106" i="9"/>
  <c r="AA106" i="9"/>
  <c r="AB106" i="9"/>
  <c r="AC106" i="9"/>
  <c r="AD106" i="9"/>
  <c r="AE106" i="9"/>
  <c r="AF106" i="9"/>
  <c r="AG106" i="9"/>
  <c r="AH106" i="9"/>
  <c r="AI106" i="9"/>
  <c r="AJ106" i="9"/>
  <c r="AK106" i="9"/>
  <c r="AN106" i="9"/>
  <c r="X107" i="9"/>
  <c r="Y107" i="9"/>
  <c r="Z107" i="9"/>
  <c r="AA107" i="9"/>
  <c r="AB107" i="9"/>
  <c r="AC107" i="9"/>
  <c r="AD107" i="9"/>
  <c r="AE107" i="9"/>
  <c r="AF107" i="9"/>
  <c r="AG107" i="9"/>
  <c r="AH107" i="9"/>
  <c r="AI107" i="9"/>
  <c r="AJ107" i="9"/>
  <c r="AK107" i="9"/>
  <c r="AN107" i="9"/>
  <c r="X108" i="9"/>
  <c r="Y108" i="9"/>
  <c r="Z108" i="9"/>
  <c r="AA108" i="9"/>
  <c r="AB108" i="9"/>
  <c r="AC108" i="9"/>
  <c r="AD108" i="9"/>
  <c r="AE108" i="9"/>
  <c r="AF108" i="9"/>
  <c r="AG108" i="9"/>
  <c r="AH108" i="9"/>
  <c r="AI108" i="9"/>
  <c r="AJ108" i="9"/>
  <c r="AK108" i="9"/>
  <c r="AN108" i="9"/>
  <c r="X109" i="9"/>
  <c r="Y109" i="9"/>
  <c r="Z109" i="9"/>
  <c r="AA109" i="9"/>
  <c r="AB109" i="9"/>
  <c r="AC109" i="9"/>
  <c r="AD109" i="9"/>
  <c r="AE109" i="9"/>
  <c r="AF109" i="9"/>
  <c r="AG109" i="9"/>
  <c r="AH109" i="9"/>
  <c r="AI109" i="9"/>
  <c r="AJ109" i="9"/>
  <c r="AK109" i="9"/>
  <c r="AN109" i="9"/>
  <c r="X110" i="9"/>
  <c r="Y110" i="9"/>
  <c r="Z110" i="9"/>
  <c r="AA110" i="9"/>
  <c r="AB110" i="9"/>
  <c r="AC110" i="9"/>
  <c r="AD110" i="9"/>
  <c r="AE110" i="9"/>
  <c r="AF110" i="9"/>
  <c r="AG110" i="9"/>
  <c r="AH110" i="9"/>
  <c r="AI110" i="9"/>
  <c r="AJ110" i="9"/>
  <c r="AK110" i="9"/>
  <c r="AN110" i="9"/>
  <c r="X111" i="9"/>
  <c r="Y111" i="9"/>
  <c r="Z111" i="9"/>
  <c r="AA111" i="9"/>
  <c r="AB111" i="9"/>
  <c r="AC111" i="9"/>
  <c r="AD111" i="9"/>
  <c r="AE111" i="9"/>
  <c r="AF111" i="9"/>
  <c r="AG111" i="9"/>
  <c r="AH111" i="9"/>
  <c r="AI111" i="9"/>
  <c r="AJ111" i="9"/>
  <c r="AK111" i="9"/>
  <c r="AN111" i="9"/>
  <c r="X112" i="9"/>
  <c r="Y112" i="9"/>
  <c r="Z112" i="9"/>
  <c r="AA112" i="9"/>
  <c r="AB112" i="9"/>
  <c r="AC112" i="9"/>
  <c r="AD112" i="9"/>
  <c r="AE112" i="9"/>
  <c r="AF112" i="9"/>
  <c r="AG112" i="9"/>
  <c r="AH112" i="9"/>
  <c r="AI112" i="9"/>
  <c r="AJ112" i="9"/>
  <c r="AK112" i="9"/>
  <c r="AN112" i="9"/>
  <c r="X113" i="9"/>
  <c r="Y113" i="9"/>
  <c r="Z113" i="9"/>
  <c r="AA113" i="9"/>
  <c r="AB113" i="9"/>
  <c r="AC113" i="9"/>
  <c r="AD113" i="9"/>
  <c r="AE113" i="9"/>
  <c r="AF113" i="9"/>
  <c r="AG113" i="9"/>
  <c r="AH113" i="9"/>
  <c r="AI113" i="9"/>
  <c r="AJ113" i="9"/>
  <c r="AK113" i="9"/>
  <c r="AN113" i="9"/>
  <c r="AD97" i="9"/>
  <c r="AE97" i="9"/>
  <c r="AF97" i="9"/>
  <c r="AG97" i="9"/>
  <c r="AH97" i="9"/>
  <c r="AI97" i="9"/>
  <c r="AJ97" i="9"/>
  <c r="AK97" i="9"/>
  <c r="AN97" i="9"/>
  <c r="AD105" i="9"/>
  <c r="AE105" i="9"/>
  <c r="AF105" i="9"/>
  <c r="AG105" i="9"/>
  <c r="AH105" i="9"/>
  <c r="AI105" i="9"/>
  <c r="AJ105" i="9"/>
  <c r="AK105" i="9"/>
  <c r="AN105" i="9"/>
  <c r="AD100" i="9"/>
  <c r="AE100" i="9"/>
  <c r="AF100" i="9"/>
  <c r="AG100" i="9"/>
  <c r="AH100" i="9"/>
  <c r="AI100" i="9"/>
  <c r="AJ100" i="9"/>
  <c r="AK100" i="9"/>
  <c r="AN100" i="9"/>
  <c r="AD99" i="9"/>
  <c r="AE99" i="9"/>
  <c r="AF99" i="9"/>
  <c r="AG99" i="9"/>
  <c r="AH99" i="9"/>
  <c r="AI99" i="9"/>
  <c r="AJ99" i="9"/>
  <c r="AK99" i="9"/>
  <c r="AN99" i="9"/>
  <c r="AD104" i="9"/>
  <c r="AE104" i="9"/>
  <c r="AF104" i="9"/>
  <c r="AG104" i="9"/>
  <c r="AH104" i="9"/>
  <c r="AI104" i="9"/>
  <c r="AJ104" i="9"/>
  <c r="AK104" i="9"/>
  <c r="AN104" i="9"/>
  <c r="AD102" i="9"/>
  <c r="AE102" i="9"/>
  <c r="AF102" i="9"/>
  <c r="AG102" i="9"/>
  <c r="AH102" i="9"/>
  <c r="AI102" i="9"/>
  <c r="AJ102" i="9"/>
  <c r="AK102" i="9"/>
  <c r="AN102" i="9"/>
  <c r="AD98" i="9"/>
  <c r="AE98" i="9"/>
  <c r="AF98" i="9"/>
  <c r="AG98" i="9"/>
  <c r="AH98" i="9"/>
  <c r="AI98" i="9"/>
  <c r="AJ98" i="9"/>
  <c r="AK98" i="9"/>
  <c r="AN98" i="9"/>
  <c r="AD101" i="9"/>
  <c r="AE101" i="9"/>
  <c r="AF101" i="9"/>
  <c r="AG101" i="9"/>
  <c r="AH101" i="9"/>
  <c r="AI101" i="9"/>
  <c r="AJ101" i="9"/>
  <c r="AK101" i="9"/>
  <c r="AN101" i="9"/>
  <c r="AD103" i="9"/>
  <c r="AE103" i="9"/>
  <c r="AF103" i="9"/>
  <c r="AG103" i="9"/>
  <c r="AH103" i="9"/>
  <c r="AI103" i="9"/>
  <c r="AJ103" i="9"/>
  <c r="AK103" i="9"/>
  <c r="AN103" i="9"/>
  <c r="Y97" i="9"/>
  <c r="Z97" i="9"/>
  <c r="AA97" i="9"/>
  <c r="AB97" i="9"/>
  <c r="AC97" i="9"/>
  <c r="Y105" i="9"/>
  <c r="Z105" i="9"/>
  <c r="AA105" i="9"/>
  <c r="AB105" i="9"/>
  <c r="AC105" i="9"/>
  <c r="Y100" i="9"/>
  <c r="Z100" i="9"/>
  <c r="AA100" i="9"/>
  <c r="AB100" i="9"/>
  <c r="AC100" i="9"/>
  <c r="Y99" i="9"/>
  <c r="Z99" i="9"/>
  <c r="AA99" i="9"/>
  <c r="AB99" i="9"/>
  <c r="AC99" i="9"/>
  <c r="Y104" i="9"/>
  <c r="Z104" i="9"/>
  <c r="AA104" i="9"/>
  <c r="AB104" i="9"/>
  <c r="AC104" i="9"/>
  <c r="Y102" i="9"/>
  <c r="Z102" i="9"/>
  <c r="AA102" i="9"/>
  <c r="AB102" i="9"/>
  <c r="AC102" i="9"/>
  <c r="Y98" i="9"/>
  <c r="Z98" i="9"/>
  <c r="AA98" i="9"/>
  <c r="AB98" i="9"/>
  <c r="AC98" i="9"/>
  <c r="Y101" i="9"/>
  <c r="Z101" i="9"/>
  <c r="AA101" i="9"/>
  <c r="AB101" i="9"/>
  <c r="AC101" i="9"/>
  <c r="Y103" i="9"/>
  <c r="Z103" i="9"/>
  <c r="AA103" i="9"/>
  <c r="AB103" i="9"/>
  <c r="AC103" i="9"/>
  <c r="X97" i="9"/>
  <c r="X105" i="9"/>
  <c r="X100" i="9"/>
  <c r="X99" i="9"/>
  <c r="X104" i="9"/>
  <c r="X102" i="9"/>
  <c r="X98" i="9"/>
  <c r="X101" i="9"/>
  <c r="X103" i="9"/>
  <c r="X93" i="9"/>
  <c r="Y93" i="9"/>
  <c r="Z93" i="9"/>
  <c r="AA93" i="9"/>
  <c r="AB93" i="9"/>
  <c r="AC93" i="9"/>
  <c r="AD93" i="9"/>
  <c r="AE93" i="9"/>
  <c r="AF93" i="9"/>
  <c r="AG93" i="9"/>
  <c r="AH93" i="9"/>
  <c r="AI93" i="9"/>
  <c r="AJ93" i="9"/>
  <c r="AK93" i="9"/>
  <c r="AN93" i="9"/>
  <c r="X94" i="9"/>
  <c r="Y94" i="9"/>
  <c r="Z94" i="9"/>
  <c r="AA94" i="9"/>
  <c r="AB94" i="9"/>
  <c r="AC94" i="9"/>
  <c r="AD94" i="9"/>
  <c r="AE94" i="9"/>
  <c r="AF94" i="9"/>
  <c r="AG94" i="9"/>
  <c r="AH94" i="9"/>
  <c r="AI94" i="9"/>
  <c r="AJ94" i="9"/>
  <c r="AK94" i="9"/>
  <c r="AN94" i="9"/>
  <c r="X95" i="9"/>
  <c r="Y95" i="9"/>
  <c r="Z95" i="9"/>
  <c r="AA95" i="9"/>
  <c r="AB95" i="9"/>
  <c r="AC95" i="9"/>
  <c r="AD95" i="9"/>
  <c r="AE95" i="9"/>
  <c r="AF95" i="9"/>
  <c r="AG95" i="9"/>
  <c r="AH95" i="9"/>
  <c r="AI95" i="9"/>
  <c r="AJ95" i="9"/>
  <c r="AK95" i="9"/>
  <c r="AN95" i="9"/>
  <c r="X91" i="9"/>
  <c r="Y91" i="9"/>
  <c r="Z91" i="9"/>
  <c r="AA91" i="9"/>
  <c r="AB91" i="9"/>
  <c r="AC91" i="9"/>
  <c r="AD91" i="9"/>
  <c r="AE91" i="9"/>
  <c r="AF91" i="9"/>
  <c r="AG91" i="9"/>
  <c r="AH91" i="9"/>
  <c r="AI91" i="9"/>
  <c r="AJ91" i="9"/>
  <c r="AK91" i="9"/>
  <c r="AN91" i="9"/>
  <c r="X96" i="9"/>
  <c r="Y96" i="9"/>
  <c r="Z96" i="9"/>
  <c r="AA96" i="9"/>
  <c r="AB96" i="9"/>
  <c r="AC96" i="9"/>
  <c r="AD96" i="9"/>
  <c r="AE96" i="9"/>
  <c r="AF96" i="9"/>
  <c r="AG96" i="9"/>
  <c r="AH96" i="9"/>
  <c r="AI96" i="9"/>
  <c r="AJ96" i="9"/>
  <c r="AK96" i="9"/>
  <c r="AN96" i="9"/>
  <c r="X90" i="9"/>
  <c r="Y90" i="9"/>
  <c r="Z90" i="9"/>
  <c r="AA90" i="9"/>
  <c r="AB90" i="9"/>
  <c r="AC90" i="9"/>
  <c r="AD90" i="9"/>
  <c r="AE90" i="9"/>
  <c r="AF90" i="9"/>
  <c r="AG90" i="9"/>
  <c r="AH90" i="9"/>
  <c r="AI90" i="9"/>
  <c r="AJ90" i="9"/>
  <c r="AK90" i="9"/>
  <c r="AN90" i="9"/>
  <c r="X92" i="9"/>
  <c r="Y92" i="9"/>
  <c r="Z92" i="9"/>
  <c r="AA92" i="9"/>
  <c r="AB92" i="9"/>
  <c r="AC92" i="9"/>
  <c r="AD92" i="9"/>
  <c r="AE92" i="9"/>
  <c r="AF92" i="9"/>
  <c r="AG92" i="9"/>
  <c r="AH92" i="9"/>
  <c r="AI92" i="9"/>
  <c r="AJ92" i="9"/>
  <c r="AK92" i="9"/>
  <c r="AN92" i="9"/>
  <c r="AN85" i="9"/>
  <c r="AN86" i="9"/>
  <c r="AN87" i="9"/>
  <c r="AN88" i="9"/>
  <c r="AN82" i="9"/>
  <c r="AN83" i="9"/>
  <c r="AN84" i="9"/>
  <c r="AN89" i="9"/>
  <c r="AD85" i="9"/>
  <c r="AE85" i="9"/>
  <c r="AF85" i="9"/>
  <c r="AG85" i="9"/>
  <c r="AH85" i="9"/>
  <c r="AI85" i="9"/>
  <c r="AJ85" i="9"/>
  <c r="AK85" i="9"/>
  <c r="AD86" i="9"/>
  <c r="AE86" i="9"/>
  <c r="AF86" i="9"/>
  <c r="AG86" i="9"/>
  <c r="AH86" i="9"/>
  <c r="AI86" i="9"/>
  <c r="AJ86" i="9"/>
  <c r="AK86" i="9"/>
  <c r="AD87" i="9"/>
  <c r="AE87" i="9"/>
  <c r="AF87" i="9"/>
  <c r="AG87" i="9"/>
  <c r="AH87" i="9"/>
  <c r="AI87" i="9"/>
  <c r="AJ87" i="9"/>
  <c r="AK87" i="9"/>
  <c r="AD88" i="9"/>
  <c r="AE88" i="9"/>
  <c r="AF88" i="9"/>
  <c r="AG88" i="9"/>
  <c r="AH88" i="9"/>
  <c r="AI88" i="9"/>
  <c r="AJ88" i="9"/>
  <c r="AK88" i="9"/>
  <c r="AD82" i="9"/>
  <c r="AE82" i="9"/>
  <c r="AF82" i="9"/>
  <c r="AG82" i="9"/>
  <c r="AH82" i="9"/>
  <c r="AI82" i="9"/>
  <c r="AJ82" i="9"/>
  <c r="AK82" i="9"/>
  <c r="AD83" i="9"/>
  <c r="AE83" i="9"/>
  <c r="AF83" i="9"/>
  <c r="AG83" i="9"/>
  <c r="AH83" i="9"/>
  <c r="AI83" i="9"/>
  <c r="AJ83" i="9"/>
  <c r="AK83" i="9"/>
  <c r="AD84" i="9"/>
  <c r="AE84" i="9"/>
  <c r="AF84" i="9"/>
  <c r="AG84" i="9"/>
  <c r="AH84" i="9"/>
  <c r="AI84" i="9"/>
  <c r="AJ84" i="9"/>
  <c r="AK84" i="9"/>
  <c r="AD89" i="9"/>
  <c r="AE89" i="9"/>
  <c r="AF89" i="9"/>
  <c r="AG89" i="9"/>
  <c r="AH89" i="9"/>
  <c r="AI89" i="9"/>
  <c r="AJ89" i="9"/>
  <c r="AK89" i="9"/>
  <c r="X83" i="9"/>
  <c r="Y83" i="9"/>
  <c r="Z83" i="9"/>
  <c r="AA83" i="9"/>
  <c r="AB83" i="9"/>
  <c r="AC83" i="9"/>
  <c r="X84" i="9"/>
  <c r="Y84" i="9"/>
  <c r="Z84" i="9"/>
  <c r="AA84" i="9"/>
  <c r="AB84" i="9"/>
  <c r="AC84" i="9"/>
  <c r="X89" i="9"/>
  <c r="Y89" i="9"/>
  <c r="Z89" i="9"/>
  <c r="AA89" i="9"/>
  <c r="AB89" i="9"/>
  <c r="AC89" i="9"/>
  <c r="AC82" i="9"/>
  <c r="AB82" i="9"/>
  <c r="AA82" i="9"/>
  <c r="Z82" i="9"/>
  <c r="Y82" i="9"/>
  <c r="X82" i="9"/>
  <c r="AC88" i="9"/>
  <c r="AB88" i="9"/>
  <c r="AA88" i="9"/>
  <c r="Z88" i="9"/>
  <c r="Y88" i="9"/>
  <c r="X88" i="9"/>
  <c r="AC87" i="9"/>
  <c r="AB87" i="9"/>
  <c r="AA87" i="9"/>
  <c r="Z87" i="9"/>
  <c r="Y87" i="9"/>
  <c r="X87" i="9"/>
  <c r="AC86" i="9"/>
  <c r="AB86" i="9"/>
  <c r="AA86" i="9"/>
  <c r="Z86" i="9"/>
  <c r="Y86" i="9"/>
  <c r="X86" i="9"/>
  <c r="AC85" i="9"/>
  <c r="AB85" i="9"/>
  <c r="AA85" i="9"/>
  <c r="Z85" i="9"/>
  <c r="Y85" i="9"/>
  <c r="X85" i="9"/>
  <c r="AN74" i="9"/>
  <c r="AN77" i="9"/>
  <c r="AN81" i="9"/>
  <c r="AN75" i="9"/>
  <c r="AN78" i="9"/>
  <c r="AN76" i="9"/>
  <c r="AN80" i="9"/>
  <c r="AN79" i="9"/>
  <c r="AD74" i="9"/>
  <c r="AE74" i="9"/>
  <c r="AF74" i="9"/>
  <c r="AG74" i="9"/>
  <c r="AH74" i="9"/>
  <c r="AI74" i="9"/>
  <c r="AJ74" i="9"/>
  <c r="AK74" i="9"/>
  <c r="AD77" i="9"/>
  <c r="AE77" i="9"/>
  <c r="AF77" i="9"/>
  <c r="AG77" i="9"/>
  <c r="AH77" i="9"/>
  <c r="AI77" i="9"/>
  <c r="AJ77" i="9"/>
  <c r="AK77" i="9"/>
  <c r="AD81" i="9"/>
  <c r="AE81" i="9"/>
  <c r="AF81" i="9"/>
  <c r="AG81" i="9"/>
  <c r="AH81" i="9"/>
  <c r="AI81" i="9"/>
  <c r="AJ81" i="9"/>
  <c r="AK81" i="9"/>
  <c r="AD75" i="9"/>
  <c r="AE75" i="9"/>
  <c r="AF75" i="9"/>
  <c r="AG75" i="9"/>
  <c r="AH75" i="9"/>
  <c r="AI75" i="9"/>
  <c r="AJ75" i="9"/>
  <c r="AK75" i="9"/>
  <c r="AD78" i="9"/>
  <c r="AE78" i="9"/>
  <c r="AF78" i="9"/>
  <c r="AG78" i="9"/>
  <c r="AH78" i="9"/>
  <c r="AI78" i="9"/>
  <c r="AJ78" i="9"/>
  <c r="AK78" i="9"/>
  <c r="AD76" i="9"/>
  <c r="AE76" i="9"/>
  <c r="AF76" i="9"/>
  <c r="AG76" i="9"/>
  <c r="AH76" i="9"/>
  <c r="AI76" i="9"/>
  <c r="AJ76" i="9"/>
  <c r="AK76" i="9"/>
  <c r="AD80" i="9"/>
  <c r="AE80" i="9"/>
  <c r="AF80" i="9"/>
  <c r="AG80" i="9"/>
  <c r="AH80" i="9"/>
  <c r="AI80" i="9"/>
  <c r="AJ80" i="9"/>
  <c r="AK80" i="9"/>
  <c r="AD79" i="9"/>
  <c r="AE79" i="9"/>
  <c r="AF79" i="9"/>
  <c r="AG79" i="9"/>
  <c r="AH79" i="9"/>
  <c r="AI79" i="9"/>
  <c r="AJ79" i="9"/>
  <c r="AK79" i="9"/>
  <c r="AC80" i="9"/>
  <c r="Z79" i="9"/>
  <c r="AA79" i="9"/>
  <c r="AB79" i="9"/>
  <c r="AC79" i="9"/>
  <c r="Y79" i="9"/>
  <c r="X79" i="9"/>
  <c r="AB80" i="9"/>
  <c r="AA80" i="9"/>
  <c r="Z80" i="9"/>
  <c r="Y80" i="9"/>
  <c r="X80" i="9"/>
  <c r="AC76" i="9"/>
  <c r="AB76" i="9"/>
  <c r="AA76" i="9"/>
  <c r="Z76" i="9"/>
  <c r="Y76" i="9"/>
  <c r="X76" i="9"/>
  <c r="AC78" i="9"/>
  <c r="AB78" i="9"/>
  <c r="AA78" i="9"/>
  <c r="Z78" i="9"/>
  <c r="Y78" i="9"/>
  <c r="X78" i="9"/>
  <c r="AC75" i="9"/>
  <c r="AB75" i="9"/>
  <c r="AA75" i="9"/>
  <c r="Z75" i="9"/>
  <c r="Y75" i="9"/>
  <c r="X75" i="9"/>
  <c r="AC81" i="9"/>
  <c r="AB81" i="9"/>
  <c r="AA81" i="9"/>
  <c r="Z81" i="9"/>
  <c r="Y81" i="9"/>
  <c r="X81" i="9"/>
  <c r="AC77" i="9"/>
  <c r="AB77" i="9"/>
  <c r="AA77" i="9"/>
  <c r="Z77" i="9"/>
  <c r="Y77" i="9"/>
  <c r="X77" i="9"/>
  <c r="AC74" i="9"/>
  <c r="AB74" i="9"/>
  <c r="AA74" i="9"/>
  <c r="Z74" i="9"/>
  <c r="Y74" i="9"/>
  <c r="X74" i="9"/>
  <c r="AN69" i="9"/>
  <c r="AN71" i="9"/>
  <c r="AN66" i="9"/>
  <c r="AN73" i="9"/>
  <c r="AN67" i="9"/>
  <c r="AN68" i="9"/>
  <c r="AN70" i="9"/>
  <c r="AN72" i="9"/>
  <c r="AD69" i="9"/>
  <c r="AE69" i="9"/>
  <c r="AF69" i="9"/>
  <c r="AG69" i="9"/>
  <c r="AH69" i="9"/>
  <c r="AI69" i="9"/>
  <c r="AJ69" i="9"/>
  <c r="AK69" i="9"/>
  <c r="AD71" i="9"/>
  <c r="AE71" i="9"/>
  <c r="AF71" i="9"/>
  <c r="AG71" i="9"/>
  <c r="AH71" i="9"/>
  <c r="AI71" i="9"/>
  <c r="AJ71" i="9"/>
  <c r="AK71" i="9"/>
  <c r="AD66" i="9"/>
  <c r="AE66" i="9"/>
  <c r="AF66" i="9"/>
  <c r="AG66" i="9"/>
  <c r="AH66" i="9"/>
  <c r="AI66" i="9"/>
  <c r="AJ66" i="9"/>
  <c r="AK66" i="9"/>
  <c r="AD73" i="9"/>
  <c r="AE73" i="9"/>
  <c r="AF73" i="9"/>
  <c r="AG73" i="9"/>
  <c r="AH73" i="9"/>
  <c r="AI73" i="9"/>
  <c r="AJ73" i="9"/>
  <c r="AK73" i="9"/>
  <c r="AD67" i="9"/>
  <c r="AE67" i="9"/>
  <c r="AF67" i="9"/>
  <c r="AG67" i="9"/>
  <c r="AH67" i="9"/>
  <c r="AI67" i="9"/>
  <c r="AJ67" i="9"/>
  <c r="AK67" i="9"/>
  <c r="AD68" i="9"/>
  <c r="AE68" i="9"/>
  <c r="AF68" i="9"/>
  <c r="AG68" i="9"/>
  <c r="AH68" i="9"/>
  <c r="AI68" i="9"/>
  <c r="AJ68" i="9"/>
  <c r="AK68" i="9"/>
  <c r="AD70" i="9"/>
  <c r="AE70" i="9"/>
  <c r="AF70" i="9"/>
  <c r="AG70" i="9"/>
  <c r="AH70" i="9"/>
  <c r="AI70" i="9"/>
  <c r="AJ70" i="9"/>
  <c r="AK70" i="9"/>
  <c r="AD72" i="9"/>
  <c r="AE72" i="9"/>
  <c r="AF72" i="9"/>
  <c r="AG72" i="9"/>
  <c r="AH72" i="9"/>
  <c r="AI72" i="9"/>
  <c r="AJ72" i="9"/>
  <c r="AK72" i="9"/>
  <c r="AC70" i="9"/>
  <c r="AC72" i="9"/>
  <c r="AB70" i="9"/>
  <c r="AB72" i="9"/>
  <c r="AA70" i="9"/>
  <c r="AA72" i="9"/>
  <c r="Z70" i="9"/>
  <c r="Z72" i="9"/>
  <c r="Y70" i="9"/>
  <c r="Y72" i="9"/>
  <c r="X70" i="9"/>
  <c r="X72" i="9"/>
  <c r="AC68" i="9"/>
  <c r="AB68" i="9"/>
  <c r="AA68" i="9"/>
  <c r="Z68" i="9"/>
  <c r="Y68" i="9"/>
  <c r="X68" i="9"/>
  <c r="AC67" i="9"/>
  <c r="AB67" i="9"/>
  <c r="AA67" i="9"/>
  <c r="Z67" i="9"/>
  <c r="Y67" i="9"/>
  <c r="X67" i="9"/>
  <c r="AC73" i="9"/>
  <c r="AB73" i="9"/>
  <c r="AA73" i="9"/>
  <c r="Z73" i="9"/>
  <c r="Y73" i="9"/>
  <c r="X73" i="9"/>
  <c r="AC66" i="9"/>
  <c r="AB66" i="9"/>
  <c r="AA66" i="9"/>
  <c r="Z66" i="9"/>
  <c r="Y66" i="9"/>
  <c r="X66" i="9"/>
  <c r="AC71" i="9"/>
  <c r="AB71" i="9"/>
  <c r="AA71" i="9"/>
  <c r="Z71" i="9"/>
  <c r="Y71" i="9"/>
  <c r="X71" i="9"/>
  <c r="AC69" i="9"/>
  <c r="AB69" i="9"/>
  <c r="AA69" i="9"/>
  <c r="Z69" i="9"/>
  <c r="Y69" i="9"/>
  <c r="X69" i="9"/>
  <c r="AD62" i="9"/>
  <c r="AE62" i="9"/>
  <c r="AF62" i="9"/>
  <c r="AG62" i="9"/>
  <c r="AH62" i="9"/>
  <c r="AI62" i="9"/>
  <c r="AJ62" i="9"/>
  <c r="AK62" i="9"/>
  <c r="AN62" i="9"/>
  <c r="AD65" i="9"/>
  <c r="AE65" i="9"/>
  <c r="AF65" i="9"/>
  <c r="AG65" i="9"/>
  <c r="AH65" i="9"/>
  <c r="AI65" i="9"/>
  <c r="AJ65" i="9"/>
  <c r="AK65" i="9"/>
  <c r="AN65" i="9"/>
  <c r="AD64" i="9"/>
  <c r="AE64" i="9"/>
  <c r="AF64" i="9"/>
  <c r="AG64" i="9"/>
  <c r="AH64" i="9"/>
  <c r="AI64" i="9"/>
  <c r="AJ64" i="9"/>
  <c r="AK64" i="9"/>
  <c r="AN64" i="9"/>
  <c r="AD63" i="9"/>
  <c r="AE63" i="9"/>
  <c r="AF63" i="9"/>
  <c r="AG63" i="9"/>
  <c r="AH63" i="9"/>
  <c r="AI63" i="9"/>
  <c r="AJ63" i="9"/>
  <c r="AK63" i="9"/>
  <c r="AN63" i="9"/>
  <c r="AD59" i="9"/>
  <c r="AE59" i="9"/>
  <c r="AF59" i="9"/>
  <c r="AG59" i="9"/>
  <c r="AH59" i="9"/>
  <c r="AI59" i="9"/>
  <c r="AJ59" i="9"/>
  <c r="AK59" i="9"/>
  <c r="AN59" i="9"/>
  <c r="AD61" i="9"/>
  <c r="AE61" i="9"/>
  <c r="AF61" i="9"/>
  <c r="AG61" i="9"/>
  <c r="AH61" i="9"/>
  <c r="AI61" i="9"/>
  <c r="AJ61" i="9"/>
  <c r="AK61" i="9"/>
  <c r="AN61" i="9"/>
  <c r="AD60" i="9"/>
  <c r="AE60" i="9"/>
  <c r="AF60" i="9"/>
  <c r="AG60" i="9"/>
  <c r="AH60" i="9"/>
  <c r="AI60" i="9"/>
  <c r="AJ60" i="9"/>
  <c r="AK60" i="9"/>
  <c r="AN60" i="9"/>
  <c r="AD58" i="9"/>
  <c r="AE58" i="9"/>
  <c r="AF58" i="9"/>
  <c r="AG58" i="9"/>
  <c r="AH58" i="9"/>
  <c r="AI58" i="9"/>
  <c r="AJ58" i="9"/>
  <c r="AK58" i="9"/>
  <c r="AN58" i="9"/>
  <c r="X62" i="9"/>
  <c r="Y62" i="9"/>
  <c r="Z62" i="9"/>
  <c r="AA62" i="9"/>
  <c r="AB62" i="9"/>
  <c r="AC62" i="9"/>
  <c r="X65" i="9"/>
  <c r="Y65" i="9"/>
  <c r="Z65" i="9"/>
  <c r="AA65" i="9"/>
  <c r="AB65" i="9"/>
  <c r="AC65" i="9"/>
  <c r="X64" i="9"/>
  <c r="Y64" i="9"/>
  <c r="Z64" i="9"/>
  <c r="AA64" i="9"/>
  <c r="AB64" i="9"/>
  <c r="AC64" i="9"/>
  <c r="X63" i="9"/>
  <c r="Y63" i="9"/>
  <c r="Z63" i="9"/>
  <c r="AA63" i="9"/>
  <c r="AB63" i="9"/>
  <c r="AC63" i="9"/>
  <c r="X59" i="9"/>
  <c r="Y59" i="9"/>
  <c r="Z59" i="9"/>
  <c r="AA59" i="9"/>
  <c r="AB59" i="9"/>
  <c r="AC59" i="9"/>
  <c r="X61" i="9"/>
  <c r="Y61" i="9"/>
  <c r="Z61" i="9"/>
  <c r="AA61" i="9"/>
  <c r="AB61" i="9"/>
  <c r="AC61" i="9"/>
  <c r="X60" i="9"/>
  <c r="Y60" i="9"/>
  <c r="Z60" i="9"/>
  <c r="AA60" i="9"/>
  <c r="AB60" i="9"/>
  <c r="AC60" i="9"/>
  <c r="X58" i="9"/>
  <c r="Y58" i="9"/>
  <c r="Z58" i="9"/>
  <c r="AA58" i="9"/>
  <c r="AB58" i="9"/>
  <c r="AC58" i="9"/>
  <c r="AN4" i="9"/>
  <c r="AN9" i="9"/>
  <c r="AN5" i="9"/>
  <c r="AN8" i="9"/>
  <c r="AN2" i="9"/>
  <c r="AN6" i="9"/>
  <c r="AN3" i="9"/>
  <c r="AN13" i="9"/>
  <c r="AN10" i="9"/>
  <c r="AN15" i="9"/>
  <c r="AN16" i="9"/>
  <c r="AN12" i="9"/>
  <c r="AN11" i="9"/>
  <c r="AN17" i="9"/>
  <c r="AN14" i="9"/>
  <c r="AN25" i="9"/>
  <c r="AN18" i="9"/>
  <c r="AN19" i="9"/>
  <c r="AN20" i="9"/>
  <c r="AN21" i="9"/>
  <c r="AN24" i="9"/>
  <c r="AN22" i="9"/>
  <c r="AN23" i="9"/>
  <c r="AN31" i="9"/>
  <c r="AN27" i="9"/>
  <c r="AN32" i="9"/>
  <c r="AN29" i="9"/>
  <c r="AN33" i="9"/>
  <c r="AN28" i="9"/>
  <c r="AN30" i="9"/>
  <c r="AN26" i="9"/>
  <c r="AN37" i="9"/>
  <c r="AN34" i="9"/>
  <c r="AN41" i="9"/>
  <c r="AN35" i="9"/>
  <c r="AN39" i="9"/>
  <c r="AN36" i="9"/>
  <c r="AN40" i="9"/>
  <c r="AN38" i="9"/>
  <c r="AN49" i="9"/>
  <c r="AN45" i="9"/>
  <c r="AN47" i="9"/>
  <c r="AN46" i="9"/>
  <c r="AN48" i="9"/>
  <c r="AN42" i="9"/>
  <c r="AN44" i="9"/>
  <c r="AN43" i="9"/>
  <c r="AN53" i="9"/>
  <c r="AN57" i="9"/>
  <c r="AN56" i="9"/>
  <c r="AN54" i="9"/>
  <c r="AN55" i="9"/>
  <c r="AN50" i="9"/>
  <c r="AN51" i="9"/>
  <c r="AN52" i="9"/>
  <c r="AN7" i="9"/>
  <c r="AD4" i="9"/>
  <c r="AD9" i="9"/>
  <c r="AD5" i="9"/>
  <c r="AD8" i="9"/>
  <c r="AD2" i="9"/>
  <c r="AD6" i="9"/>
  <c r="AD3" i="9"/>
  <c r="AD13" i="9"/>
  <c r="AD10" i="9"/>
  <c r="AD15" i="9"/>
  <c r="AD16" i="9"/>
  <c r="AD12" i="9"/>
  <c r="AD11" i="9"/>
  <c r="AD17" i="9"/>
  <c r="AD14" i="9"/>
  <c r="AD25" i="9"/>
  <c r="AD18" i="9"/>
  <c r="AD19" i="9"/>
  <c r="AD20" i="9"/>
  <c r="AD21" i="9"/>
  <c r="AD24" i="9"/>
  <c r="AD22" i="9"/>
  <c r="AD23" i="9"/>
  <c r="AD31" i="9"/>
  <c r="AD27" i="9"/>
  <c r="AD32" i="9"/>
  <c r="AD29" i="9"/>
  <c r="AD33" i="9"/>
  <c r="AD28" i="9"/>
  <c r="AD30" i="9"/>
  <c r="AD26" i="9"/>
  <c r="AD37" i="9"/>
  <c r="AD34" i="9"/>
  <c r="AD41" i="9"/>
  <c r="AD35" i="9"/>
  <c r="AD39" i="9"/>
  <c r="AD36" i="9"/>
  <c r="AD40" i="9"/>
  <c r="AD38" i="9"/>
  <c r="AD49" i="9"/>
  <c r="AD45" i="9"/>
  <c r="AD47" i="9"/>
  <c r="AD46" i="9"/>
  <c r="AD48" i="9"/>
  <c r="AD42" i="9"/>
  <c r="AD44" i="9"/>
  <c r="AD43" i="9"/>
  <c r="AD53" i="9"/>
  <c r="AD57" i="9"/>
  <c r="AD56" i="9"/>
  <c r="AD54" i="9"/>
  <c r="AD55" i="9"/>
  <c r="AD50" i="9"/>
  <c r="AD51" i="9"/>
  <c r="AD52" i="9"/>
  <c r="AD7" i="9"/>
  <c r="AE4" i="9"/>
  <c r="AE9" i="9"/>
  <c r="AE5" i="9"/>
  <c r="AE8" i="9"/>
  <c r="AE2" i="9"/>
  <c r="AE6" i="9"/>
  <c r="AE3" i="9"/>
  <c r="AE13" i="9"/>
  <c r="AE10" i="9"/>
  <c r="AE15" i="9"/>
  <c r="AE16" i="9"/>
  <c r="AE12" i="9"/>
  <c r="AE11" i="9"/>
  <c r="AE17" i="9"/>
  <c r="AE14" i="9"/>
  <c r="AE25" i="9"/>
  <c r="AE18" i="9"/>
  <c r="AE19" i="9"/>
  <c r="AE20" i="9"/>
  <c r="AE21" i="9"/>
  <c r="AE24" i="9"/>
  <c r="AE22" i="9"/>
  <c r="AE23" i="9"/>
  <c r="AE31" i="9"/>
  <c r="AE27" i="9"/>
  <c r="AE32" i="9"/>
  <c r="AE29" i="9"/>
  <c r="AE33" i="9"/>
  <c r="AE28" i="9"/>
  <c r="AE30" i="9"/>
  <c r="AE26" i="9"/>
  <c r="AE37" i="9"/>
  <c r="AE34" i="9"/>
  <c r="AE41" i="9"/>
  <c r="AE35" i="9"/>
  <c r="AE39" i="9"/>
  <c r="AE36" i="9"/>
  <c r="AE40" i="9"/>
  <c r="AE38" i="9"/>
  <c r="AE49" i="9"/>
  <c r="AE45" i="9"/>
  <c r="AE47" i="9"/>
  <c r="AE46" i="9"/>
  <c r="AE48" i="9"/>
  <c r="AE42" i="9"/>
  <c r="AE44" i="9"/>
  <c r="AE43" i="9"/>
  <c r="AE53" i="9"/>
  <c r="AE57" i="9"/>
  <c r="AE56" i="9"/>
  <c r="AE54" i="9"/>
  <c r="AE55" i="9"/>
  <c r="AE50" i="9"/>
  <c r="AE51" i="9"/>
  <c r="AE52" i="9"/>
  <c r="AC4" i="9"/>
  <c r="AC9" i="9"/>
  <c r="AC5" i="9"/>
  <c r="AC8" i="9"/>
  <c r="AC2" i="9"/>
  <c r="AC6" i="9"/>
  <c r="AC3" i="9"/>
  <c r="AC13" i="9"/>
  <c r="AC10" i="9"/>
  <c r="AC15" i="9"/>
  <c r="AC16" i="9"/>
  <c r="AC12" i="9"/>
  <c r="AC11" i="9"/>
  <c r="AC17" i="9"/>
  <c r="AC14" i="9"/>
  <c r="AC25" i="9"/>
  <c r="AC18" i="9"/>
  <c r="AC19" i="9"/>
  <c r="AC20" i="9"/>
  <c r="AC21" i="9"/>
  <c r="AC24" i="9"/>
  <c r="AC22" i="9"/>
  <c r="AC23" i="9"/>
  <c r="AC31" i="9"/>
  <c r="AC27" i="9"/>
  <c r="AC32" i="9"/>
  <c r="AC29" i="9"/>
  <c r="AC33" i="9"/>
  <c r="AC28" i="9"/>
  <c r="AC30" i="9"/>
  <c r="AC26" i="9"/>
  <c r="AC37" i="9"/>
  <c r="AC34" i="9"/>
  <c r="AC41" i="9"/>
  <c r="AC35" i="9"/>
  <c r="AC39" i="9"/>
  <c r="AC36" i="9"/>
  <c r="AC40" i="9"/>
  <c r="AC38" i="9"/>
  <c r="AC49" i="9"/>
  <c r="AC45" i="9"/>
  <c r="AC47" i="9"/>
  <c r="AC46" i="9"/>
  <c r="AC48" i="9"/>
  <c r="AC42" i="9"/>
  <c r="AC44" i="9"/>
  <c r="AC43" i="9"/>
  <c r="AC53" i="9"/>
  <c r="AC57" i="9"/>
  <c r="AC56" i="9"/>
  <c r="AC54" i="9"/>
  <c r="AC55" i="9"/>
  <c r="AC50" i="9"/>
  <c r="AC51" i="9"/>
  <c r="AC52" i="9"/>
  <c r="AC7" i="9"/>
  <c r="AB4" i="9"/>
  <c r="AB9" i="9"/>
  <c r="AB5" i="9"/>
  <c r="AB8" i="9"/>
  <c r="AB2" i="9"/>
  <c r="AB6" i="9"/>
  <c r="AB3" i="9"/>
  <c r="AB13" i="9"/>
  <c r="AB10" i="9"/>
  <c r="AB15" i="9"/>
  <c r="AB16" i="9"/>
  <c r="AB12" i="9"/>
  <c r="AB11" i="9"/>
  <c r="AB17" i="9"/>
  <c r="AB14" i="9"/>
  <c r="AB25" i="9"/>
  <c r="AB18" i="9"/>
  <c r="AB19" i="9"/>
  <c r="AB20" i="9"/>
  <c r="AB21" i="9"/>
  <c r="AB24" i="9"/>
  <c r="AB22" i="9"/>
  <c r="AB23" i="9"/>
  <c r="AB31" i="9"/>
  <c r="AB27" i="9"/>
  <c r="AB32" i="9"/>
  <c r="AB29" i="9"/>
  <c r="AB33" i="9"/>
  <c r="AB28" i="9"/>
  <c r="AB30" i="9"/>
  <c r="AB26" i="9"/>
  <c r="AB37" i="9"/>
  <c r="AB34" i="9"/>
  <c r="AB41" i="9"/>
  <c r="AB35" i="9"/>
  <c r="AB39" i="9"/>
  <c r="AB36" i="9"/>
  <c r="AB40" i="9"/>
  <c r="AB38" i="9"/>
  <c r="AB49" i="9"/>
  <c r="AB45" i="9"/>
  <c r="AB47" i="9"/>
  <c r="AB46" i="9"/>
  <c r="AB48" i="9"/>
  <c r="AB42" i="9"/>
  <c r="AB44" i="9"/>
  <c r="AB43" i="9"/>
  <c r="AB53" i="9"/>
  <c r="AB57" i="9"/>
  <c r="AB56" i="9"/>
  <c r="AB54" i="9"/>
  <c r="AB55" i="9"/>
  <c r="AB50" i="9"/>
  <c r="AB51" i="9"/>
  <c r="AB52" i="9"/>
  <c r="AB7" i="9"/>
  <c r="AA4" i="9"/>
  <c r="AA9" i="9"/>
  <c r="AA5" i="9"/>
  <c r="AA8" i="9"/>
  <c r="AA2" i="9"/>
  <c r="AA6" i="9"/>
  <c r="AA3" i="9"/>
  <c r="AA13" i="9"/>
  <c r="AA10" i="9"/>
  <c r="AA15" i="9"/>
  <c r="AA16" i="9"/>
  <c r="AA12" i="9"/>
  <c r="AA11" i="9"/>
  <c r="AA17" i="9"/>
  <c r="AA14" i="9"/>
  <c r="AA25" i="9"/>
  <c r="AA18" i="9"/>
  <c r="AA19" i="9"/>
  <c r="AA20" i="9"/>
  <c r="AA21" i="9"/>
  <c r="AA24" i="9"/>
  <c r="AA22" i="9"/>
  <c r="AA23" i="9"/>
  <c r="AA31" i="9"/>
  <c r="AA27" i="9"/>
  <c r="AA32" i="9"/>
  <c r="AA29" i="9"/>
  <c r="AA33" i="9"/>
  <c r="AA28" i="9"/>
  <c r="AA30" i="9"/>
  <c r="AA26" i="9"/>
  <c r="AA37" i="9"/>
  <c r="AA34" i="9"/>
  <c r="AA41" i="9"/>
  <c r="AA35" i="9"/>
  <c r="AA39" i="9"/>
  <c r="AA36" i="9"/>
  <c r="AA40" i="9"/>
  <c r="AA38" i="9"/>
  <c r="AA49" i="9"/>
  <c r="AA45" i="9"/>
  <c r="AA47" i="9"/>
  <c r="AA46" i="9"/>
  <c r="AA48" i="9"/>
  <c r="AA42" i="9"/>
  <c r="AA44" i="9"/>
  <c r="AA43" i="9"/>
  <c r="AA53" i="9"/>
  <c r="AA57" i="9"/>
  <c r="AA56" i="9"/>
  <c r="AA54" i="9"/>
  <c r="AA55" i="9"/>
  <c r="AA50" i="9"/>
  <c r="AA51" i="9"/>
  <c r="AA52" i="9"/>
  <c r="AA7" i="9"/>
  <c r="Z4" i="9"/>
  <c r="Z9" i="9"/>
  <c r="Z5" i="9"/>
  <c r="Z8" i="9"/>
  <c r="Z2" i="9"/>
  <c r="Z6" i="9"/>
  <c r="Z3" i="9"/>
  <c r="Z13" i="9"/>
  <c r="Z10" i="9"/>
  <c r="Z15" i="9"/>
  <c r="Z16" i="9"/>
  <c r="Z12" i="9"/>
  <c r="Z11" i="9"/>
  <c r="Z17" i="9"/>
  <c r="Z14" i="9"/>
  <c r="Z25" i="9"/>
  <c r="Z18" i="9"/>
  <c r="Z19" i="9"/>
  <c r="Z20" i="9"/>
  <c r="Z21" i="9"/>
  <c r="Z24" i="9"/>
  <c r="Z22" i="9"/>
  <c r="Z23" i="9"/>
  <c r="Z31" i="9"/>
  <c r="Z27" i="9"/>
  <c r="Z32" i="9"/>
  <c r="Z29" i="9"/>
  <c r="Z33" i="9"/>
  <c r="Z28" i="9"/>
  <c r="Z30" i="9"/>
  <c r="Z26" i="9"/>
  <c r="Z37" i="9"/>
  <c r="Z34" i="9"/>
  <c r="Z41" i="9"/>
  <c r="Z35" i="9"/>
  <c r="Z39" i="9"/>
  <c r="Z36" i="9"/>
  <c r="Z40" i="9"/>
  <c r="Z38" i="9"/>
  <c r="Z49" i="9"/>
  <c r="Z45" i="9"/>
  <c r="Z47" i="9"/>
  <c r="Z46" i="9"/>
  <c r="Z48" i="9"/>
  <c r="Z42" i="9"/>
  <c r="Z44" i="9"/>
  <c r="Z43" i="9"/>
  <c r="Z53" i="9"/>
  <c r="Z57" i="9"/>
  <c r="Z56" i="9"/>
  <c r="Z54" i="9"/>
  <c r="Z55" i="9"/>
  <c r="Z50" i="9"/>
  <c r="Z51" i="9"/>
  <c r="Z52" i="9"/>
  <c r="Z7" i="9"/>
  <c r="Y4" i="9"/>
  <c r="Y9" i="9"/>
  <c r="Y5" i="9"/>
  <c r="Y8" i="9"/>
  <c r="Y2" i="9"/>
  <c r="Y6" i="9"/>
  <c r="Y3" i="9"/>
  <c r="Y13" i="9"/>
  <c r="Y10" i="9"/>
  <c r="Y15" i="9"/>
  <c r="Y16" i="9"/>
  <c r="Y12" i="9"/>
  <c r="Y11" i="9"/>
  <c r="Y17" i="9"/>
  <c r="Y14" i="9"/>
  <c r="Y25" i="9"/>
  <c r="Y18" i="9"/>
  <c r="Y19" i="9"/>
  <c r="Y20" i="9"/>
  <c r="Y21" i="9"/>
  <c r="Y24" i="9"/>
  <c r="Y22" i="9"/>
  <c r="Y23" i="9"/>
  <c r="Y31" i="9"/>
  <c r="Y27" i="9"/>
  <c r="Y32" i="9"/>
  <c r="Y29" i="9"/>
  <c r="Y33" i="9"/>
  <c r="Y28" i="9"/>
  <c r="Y30" i="9"/>
  <c r="Y26" i="9"/>
  <c r="Y37" i="9"/>
  <c r="Y34" i="9"/>
  <c r="Y41" i="9"/>
  <c r="Y35" i="9"/>
  <c r="Y39" i="9"/>
  <c r="Y36" i="9"/>
  <c r="Y40" i="9"/>
  <c r="Y38" i="9"/>
  <c r="Y49" i="9"/>
  <c r="Y45" i="9"/>
  <c r="Y47" i="9"/>
  <c r="Y46" i="9"/>
  <c r="Y48" i="9"/>
  <c r="Y42" i="9"/>
  <c r="Y44" i="9"/>
  <c r="Y43" i="9"/>
  <c r="Y53" i="9"/>
  <c r="Y57" i="9"/>
  <c r="Y56" i="9"/>
  <c r="Y54" i="9"/>
  <c r="Y55" i="9"/>
  <c r="Y50" i="9"/>
  <c r="Y51" i="9"/>
  <c r="Y52" i="9"/>
  <c r="Y7" i="9"/>
  <c r="X4" i="9"/>
  <c r="AL4" i="9" s="1"/>
  <c r="X9" i="9"/>
  <c r="X5" i="9"/>
  <c r="AL5" i="9" s="1"/>
  <c r="X8" i="9"/>
  <c r="X2" i="9"/>
  <c r="AL2" i="9" s="1"/>
  <c r="X6" i="9"/>
  <c r="AL6" i="9" s="1"/>
  <c r="X3" i="9"/>
  <c r="AL3" i="9" s="1"/>
  <c r="X13" i="9"/>
  <c r="AL13" i="9" s="1"/>
  <c r="X10" i="9"/>
  <c r="AL10" i="9" s="1"/>
  <c r="X15" i="9"/>
  <c r="AL15" i="9" s="1"/>
  <c r="X16" i="9"/>
  <c r="AL16" i="9" s="1"/>
  <c r="X12" i="9"/>
  <c r="AL12" i="9" s="1"/>
  <c r="X11" i="9"/>
  <c r="AL11" i="9" s="1"/>
  <c r="X17" i="9"/>
  <c r="AL17" i="9" s="1"/>
  <c r="X14" i="9"/>
  <c r="AL14" i="9" s="1"/>
  <c r="X25" i="9"/>
  <c r="AL25" i="9" s="1"/>
  <c r="X18" i="9"/>
  <c r="X19" i="9"/>
  <c r="AL19" i="9" s="1"/>
  <c r="X20" i="9"/>
  <c r="AL20" i="9" s="1"/>
  <c r="X21" i="9"/>
  <c r="AL21" i="9" s="1"/>
  <c r="X24" i="9"/>
  <c r="AL24" i="9" s="1"/>
  <c r="X22" i="9"/>
  <c r="AL22" i="9" s="1"/>
  <c r="X23" i="9"/>
  <c r="X31" i="9"/>
  <c r="AL31" i="9" s="1"/>
  <c r="X27" i="9"/>
  <c r="AL27" i="9" s="1"/>
  <c r="X32" i="9"/>
  <c r="AL32" i="9" s="1"/>
  <c r="X29" i="9"/>
  <c r="AL29" i="9" s="1"/>
  <c r="X33" i="9"/>
  <c r="AL33" i="9" s="1"/>
  <c r="X28" i="9"/>
  <c r="AL28" i="9" s="1"/>
  <c r="X30" i="9"/>
  <c r="AL30" i="9" s="1"/>
  <c r="X26" i="9"/>
  <c r="X37" i="9"/>
  <c r="AL37" i="9" s="1"/>
  <c r="X34" i="9"/>
  <c r="X41" i="9"/>
  <c r="AL41" i="9" s="1"/>
  <c r="X35" i="9"/>
  <c r="AL35" i="9" s="1"/>
  <c r="X39" i="9"/>
  <c r="AL39" i="9" s="1"/>
  <c r="X36" i="9"/>
  <c r="AL36" i="9" s="1"/>
  <c r="X40" i="9"/>
  <c r="AL40" i="9" s="1"/>
  <c r="X38" i="9"/>
  <c r="AL38" i="9" s="1"/>
  <c r="X49" i="9"/>
  <c r="X45" i="9"/>
  <c r="X47" i="9"/>
  <c r="X46" i="9"/>
  <c r="X48" i="9"/>
  <c r="AL48" i="9" s="1"/>
  <c r="X42" i="9"/>
  <c r="X44" i="9"/>
  <c r="AL44" i="9" s="1"/>
  <c r="X43" i="9"/>
  <c r="AL43" i="9" s="1"/>
  <c r="X53" i="9"/>
  <c r="X57" i="9"/>
  <c r="AL57" i="9" s="1"/>
  <c r="X56" i="9"/>
  <c r="AL56" i="9" s="1"/>
  <c r="X54" i="9"/>
  <c r="AL54" i="9" s="1"/>
  <c r="X55" i="9"/>
  <c r="AL55" i="9" s="1"/>
  <c r="X50" i="9"/>
  <c r="X51" i="9"/>
  <c r="AL51" i="9" s="1"/>
  <c r="X52" i="9"/>
  <c r="X7" i="9"/>
  <c r="AL7" i="9" s="1"/>
  <c r="AK4" i="9"/>
  <c r="AK9" i="9"/>
  <c r="AK5" i="9"/>
  <c r="AK8" i="9"/>
  <c r="AK2" i="9"/>
  <c r="AK6" i="9"/>
  <c r="AK3" i="9"/>
  <c r="AK13" i="9"/>
  <c r="AK10" i="9"/>
  <c r="AK15" i="9"/>
  <c r="AK16" i="9"/>
  <c r="AK12" i="9"/>
  <c r="AK11" i="9"/>
  <c r="AK17" i="9"/>
  <c r="AK14" i="9"/>
  <c r="AK25" i="9"/>
  <c r="AK18" i="9"/>
  <c r="AK19" i="9"/>
  <c r="AK20" i="9"/>
  <c r="AK21" i="9"/>
  <c r="AK24" i="9"/>
  <c r="AK22" i="9"/>
  <c r="AK23" i="9"/>
  <c r="AK31" i="9"/>
  <c r="AK27" i="9"/>
  <c r="AK32" i="9"/>
  <c r="AK29" i="9"/>
  <c r="AK33" i="9"/>
  <c r="AK28" i="9"/>
  <c r="AK30" i="9"/>
  <c r="AK26" i="9"/>
  <c r="AK37" i="9"/>
  <c r="AK34" i="9"/>
  <c r="AK41" i="9"/>
  <c r="AK35" i="9"/>
  <c r="AK39" i="9"/>
  <c r="AK36" i="9"/>
  <c r="AK40" i="9"/>
  <c r="AK38" i="9"/>
  <c r="AK49" i="9"/>
  <c r="AK45" i="9"/>
  <c r="AK47" i="9"/>
  <c r="AK46" i="9"/>
  <c r="AK48" i="9"/>
  <c r="AK42" i="9"/>
  <c r="AK44" i="9"/>
  <c r="AK43" i="9"/>
  <c r="AK53" i="9"/>
  <c r="AK57" i="9"/>
  <c r="AK56" i="9"/>
  <c r="AK54" i="9"/>
  <c r="AK55" i="9"/>
  <c r="AK50" i="9"/>
  <c r="AK51" i="9"/>
  <c r="AK52" i="9"/>
  <c r="AK7" i="9"/>
  <c r="AJ4" i="9"/>
  <c r="AJ9" i="9"/>
  <c r="AJ5" i="9"/>
  <c r="AJ8" i="9"/>
  <c r="AJ2" i="9"/>
  <c r="AJ6" i="9"/>
  <c r="AJ3" i="9"/>
  <c r="AJ13" i="9"/>
  <c r="AJ10" i="9"/>
  <c r="AJ15" i="9"/>
  <c r="AJ16" i="9"/>
  <c r="AJ12" i="9"/>
  <c r="AJ11" i="9"/>
  <c r="AJ17" i="9"/>
  <c r="AJ14" i="9"/>
  <c r="AJ25" i="9"/>
  <c r="AJ18" i="9"/>
  <c r="AJ19" i="9"/>
  <c r="AJ20" i="9"/>
  <c r="AJ21" i="9"/>
  <c r="AJ24" i="9"/>
  <c r="AJ22" i="9"/>
  <c r="AJ23" i="9"/>
  <c r="AJ31" i="9"/>
  <c r="AJ27" i="9"/>
  <c r="AJ32" i="9"/>
  <c r="AJ29" i="9"/>
  <c r="AJ33" i="9"/>
  <c r="AJ28" i="9"/>
  <c r="AJ30" i="9"/>
  <c r="AJ26" i="9"/>
  <c r="AJ37" i="9"/>
  <c r="AJ34" i="9"/>
  <c r="AJ41" i="9"/>
  <c r="AJ35" i="9"/>
  <c r="AJ39" i="9"/>
  <c r="AJ36" i="9"/>
  <c r="AJ40" i="9"/>
  <c r="AJ38" i="9"/>
  <c r="AJ49" i="9"/>
  <c r="AJ45" i="9"/>
  <c r="AJ47" i="9"/>
  <c r="AJ46" i="9"/>
  <c r="AJ48" i="9"/>
  <c r="AJ42" i="9"/>
  <c r="AJ44" i="9"/>
  <c r="AJ43" i="9"/>
  <c r="AJ53" i="9"/>
  <c r="AJ57" i="9"/>
  <c r="AJ56" i="9"/>
  <c r="AJ54" i="9"/>
  <c r="AJ55" i="9"/>
  <c r="AJ50" i="9"/>
  <c r="AJ51" i="9"/>
  <c r="AJ52" i="9"/>
  <c r="AJ7" i="9"/>
  <c r="AI4" i="9"/>
  <c r="AI9" i="9"/>
  <c r="AI5" i="9"/>
  <c r="AI8" i="9"/>
  <c r="AI2" i="9"/>
  <c r="AI6" i="9"/>
  <c r="AI3" i="9"/>
  <c r="AI13" i="9"/>
  <c r="AI10" i="9"/>
  <c r="AI15" i="9"/>
  <c r="AI16" i="9"/>
  <c r="AI12" i="9"/>
  <c r="AI11" i="9"/>
  <c r="AI17" i="9"/>
  <c r="AI14" i="9"/>
  <c r="AI25" i="9"/>
  <c r="AI18" i="9"/>
  <c r="AI19" i="9"/>
  <c r="AI20" i="9"/>
  <c r="AI21" i="9"/>
  <c r="AI24" i="9"/>
  <c r="AI22" i="9"/>
  <c r="AI23" i="9"/>
  <c r="AI31" i="9"/>
  <c r="AI27" i="9"/>
  <c r="AI32" i="9"/>
  <c r="AI29" i="9"/>
  <c r="AI33" i="9"/>
  <c r="AI28" i="9"/>
  <c r="AI30" i="9"/>
  <c r="AI26" i="9"/>
  <c r="AI37" i="9"/>
  <c r="AI34" i="9"/>
  <c r="AI41" i="9"/>
  <c r="AI35" i="9"/>
  <c r="AI39" i="9"/>
  <c r="AI36" i="9"/>
  <c r="AI40" i="9"/>
  <c r="AI38" i="9"/>
  <c r="AI49" i="9"/>
  <c r="AI45" i="9"/>
  <c r="AI47" i="9"/>
  <c r="AI46" i="9"/>
  <c r="AI48" i="9"/>
  <c r="AI42" i="9"/>
  <c r="AI44" i="9"/>
  <c r="AI43" i="9"/>
  <c r="AI53" i="9"/>
  <c r="AI57" i="9"/>
  <c r="AI56" i="9"/>
  <c r="AI54" i="9"/>
  <c r="AI55" i="9"/>
  <c r="AI50" i="9"/>
  <c r="AI51" i="9"/>
  <c r="AI52" i="9"/>
  <c r="AI7" i="9"/>
  <c r="AH4" i="9"/>
  <c r="AH9" i="9"/>
  <c r="AH5" i="9"/>
  <c r="AH8" i="9"/>
  <c r="AH2" i="9"/>
  <c r="AH6" i="9"/>
  <c r="AH3" i="9"/>
  <c r="AH13" i="9"/>
  <c r="AH10" i="9"/>
  <c r="AH15" i="9"/>
  <c r="AH16" i="9"/>
  <c r="AH12" i="9"/>
  <c r="AH11" i="9"/>
  <c r="AH17" i="9"/>
  <c r="AH14" i="9"/>
  <c r="AH25" i="9"/>
  <c r="AH18" i="9"/>
  <c r="AH19" i="9"/>
  <c r="AH20" i="9"/>
  <c r="AH21" i="9"/>
  <c r="AH24" i="9"/>
  <c r="AH22" i="9"/>
  <c r="AH23" i="9"/>
  <c r="AH31" i="9"/>
  <c r="AH27" i="9"/>
  <c r="AH32" i="9"/>
  <c r="AH29" i="9"/>
  <c r="AH33" i="9"/>
  <c r="AH28" i="9"/>
  <c r="AH30" i="9"/>
  <c r="AH26" i="9"/>
  <c r="AH37" i="9"/>
  <c r="AH34" i="9"/>
  <c r="AH41" i="9"/>
  <c r="AH35" i="9"/>
  <c r="AH39" i="9"/>
  <c r="AH36" i="9"/>
  <c r="AH40" i="9"/>
  <c r="AH38" i="9"/>
  <c r="AH49" i="9"/>
  <c r="AH45" i="9"/>
  <c r="AH47" i="9"/>
  <c r="AH46" i="9"/>
  <c r="AH48" i="9"/>
  <c r="AH42" i="9"/>
  <c r="AH44" i="9"/>
  <c r="AH43" i="9"/>
  <c r="AH53" i="9"/>
  <c r="AH57" i="9"/>
  <c r="AH56" i="9"/>
  <c r="AH54" i="9"/>
  <c r="AH55" i="9"/>
  <c r="AH50" i="9"/>
  <c r="AH51" i="9"/>
  <c r="AH52" i="9"/>
  <c r="AH7" i="9"/>
  <c r="AG4" i="9"/>
  <c r="AG9" i="9"/>
  <c r="AG5" i="9"/>
  <c r="AG8" i="9"/>
  <c r="AG2" i="9"/>
  <c r="AG6" i="9"/>
  <c r="AG3" i="9"/>
  <c r="AG13" i="9"/>
  <c r="AG10" i="9"/>
  <c r="AG15" i="9"/>
  <c r="AG16" i="9"/>
  <c r="AG12" i="9"/>
  <c r="AG11" i="9"/>
  <c r="AG17" i="9"/>
  <c r="AG14" i="9"/>
  <c r="AG25" i="9"/>
  <c r="AG18" i="9"/>
  <c r="AG19" i="9"/>
  <c r="AG20" i="9"/>
  <c r="AG21" i="9"/>
  <c r="AG24" i="9"/>
  <c r="AG22" i="9"/>
  <c r="AG23" i="9"/>
  <c r="AG31" i="9"/>
  <c r="AG27" i="9"/>
  <c r="AG32" i="9"/>
  <c r="AG29" i="9"/>
  <c r="AG33" i="9"/>
  <c r="AG28" i="9"/>
  <c r="AG30" i="9"/>
  <c r="AG26" i="9"/>
  <c r="AG37" i="9"/>
  <c r="AG34" i="9"/>
  <c r="AG41" i="9"/>
  <c r="AG35" i="9"/>
  <c r="AG39" i="9"/>
  <c r="AG36" i="9"/>
  <c r="AG40" i="9"/>
  <c r="AG38" i="9"/>
  <c r="AG49" i="9"/>
  <c r="AG45" i="9"/>
  <c r="AG47" i="9"/>
  <c r="AG46" i="9"/>
  <c r="AG48" i="9"/>
  <c r="AG42" i="9"/>
  <c r="AG44" i="9"/>
  <c r="AG43" i="9"/>
  <c r="AG53" i="9"/>
  <c r="AG57" i="9"/>
  <c r="AG56" i="9"/>
  <c r="AG54" i="9"/>
  <c r="AG55" i="9"/>
  <c r="AG50" i="9"/>
  <c r="AG51" i="9"/>
  <c r="AG52" i="9"/>
  <c r="AG7" i="9"/>
  <c r="AF4" i="9"/>
  <c r="AF9" i="9"/>
  <c r="AF5" i="9"/>
  <c r="AF8" i="9"/>
  <c r="AF2" i="9"/>
  <c r="AF6" i="9"/>
  <c r="AF3" i="9"/>
  <c r="AF13" i="9"/>
  <c r="AF10" i="9"/>
  <c r="AF15" i="9"/>
  <c r="AF16" i="9"/>
  <c r="AF12" i="9"/>
  <c r="AF11" i="9"/>
  <c r="AF17" i="9"/>
  <c r="AF14" i="9"/>
  <c r="AF25" i="9"/>
  <c r="AF18" i="9"/>
  <c r="AF19" i="9"/>
  <c r="AF20" i="9"/>
  <c r="AF21" i="9"/>
  <c r="AF24" i="9"/>
  <c r="AF22" i="9"/>
  <c r="AF23" i="9"/>
  <c r="AF31" i="9"/>
  <c r="AF27" i="9"/>
  <c r="AF32" i="9"/>
  <c r="AF29" i="9"/>
  <c r="AF33" i="9"/>
  <c r="AF28" i="9"/>
  <c r="AF30" i="9"/>
  <c r="AF26" i="9"/>
  <c r="AF37" i="9"/>
  <c r="AF34" i="9"/>
  <c r="AF41" i="9"/>
  <c r="AF35" i="9"/>
  <c r="AF39" i="9"/>
  <c r="AF36" i="9"/>
  <c r="AF40" i="9"/>
  <c r="AF38" i="9"/>
  <c r="AF49" i="9"/>
  <c r="AF45" i="9"/>
  <c r="AF47" i="9"/>
  <c r="AF46" i="9"/>
  <c r="AF48" i="9"/>
  <c r="AF42" i="9"/>
  <c r="AF44" i="9"/>
  <c r="AF43" i="9"/>
  <c r="AF53" i="9"/>
  <c r="AF57" i="9"/>
  <c r="AF56" i="9"/>
  <c r="AF54" i="9"/>
  <c r="AF55" i="9"/>
  <c r="AF50" i="9"/>
  <c r="AF51" i="9"/>
  <c r="AF52" i="9"/>
  <c r="AF7" i="9"/>
  <c r="AE7" i="9"/>
  <c r="W138" i="9" l="1"/>
  <c r="AO138" i="9"/>
  <c r="W142" i="9"/>
  <c r="AO142" i="9"/>
  <c r="W141" i="9"/>
  <c r="AO141" i="9"/>
  <c r="AM145" i="9"/>
  <c r="AM143" i="9"/>
  <c r="W139" i="9"/>
  <c r="AO139" i="9"/>
  <c r="AM140" i="9"/>
  <c r="AO144" i="9"/>
  <c r="AM133" i="9"/>
  <c r="W137" i="9"/>
  <c r="AO137" i="9"/>
  <c r="W130" i="9"/>
  <c r="AO130" i="9"/>
  <c r="W136" i="9"/>
  <c r="AO136" i="9"/>
  <c r="AM134" i="9"/>
  <c r="AO132" i="9"/>
  <c r="W132" i="9"/>
  <c r="AO131" i="9"/>
  <c r="W131" i="9"/>
  <c r="W135" i="9"/>
  <c r="W122" i="9"/>
  <c r="AO122" i="9"/>
  <c r="AM128" i="9"/>
  <c r="AM124" i="9"/>
  <c r="AO127" i="9"/>
  <c r="W127" i="9"/>
  <c r="W125" i="9"/>
  <c r="AO125" i="9"/>
  <c r="W126" i="9"/>
  <c r="AO126" i="9"/>
  <c r="AM129" i="9"/>
  <c r="AO123" i="9"/>
  <c r="W123" i="9"/>
  <c r="AL109" i="9"/>
  <c r="AL116" i="9"/>
  <c r="AL111" i="9"/>
  <c r="AL114" i="9"/>
  <c r="AM114" i="9" s="1"/>
  <c r="AM111" i="9"/>
  <c r="W111" i="9" s="1"/>
  <c r="AM116" i="9"/>
  <c r="W116" i="9" s="1"/>
  <c r="AL112" i="9"/>
  <c r="AM112" i="9" s="1"/>
  <c r="AL110" i="9"/>
  <c r="AM110" i="9" s="1"/>
  <c r="AL117" i="9"/>
  <c r="AM117" i="9" s="1"/>
  <c r="AM113" i="9"/>
  <c r="AL113" i="9"/>
  <c r="AL119" i="9"/>
  <c r="AM119" i="9" s="1"/>
  <c r="AO119" i="9" s="1"/>
  <c r="AL118" i="9"/>
  <c r="AM118" i="9" s="1"/>
  <c r="W118" i="9" s="1"/>
  <c r="AM106" i="9"/>
  <c r="W106" i="9" s="1"/>
  <c r="AL120" i="9"/>
  <c r="AM120" i="9" s="1"/>
  <c r="AL121" i="9"/>
  <c r="AL107" i="9"/>
  <c r="AM107" i="9"/>
  <c r="AO107" i="9" s="1"/>
  <c r="AL108" i="9"/>
  <c r="AL115" i="9"/>
  <c r="AM115" i="9" s="1"/>
  <c r="AO116" i="9"/>
  <c r="AM121" i="9"/>
  <c r="W113" i="9"/>
  <c r="AO113" i="9"/>
  <c r="AM109" i="9"/>
  <c r="AM108" i="9"/>
  <c r="AO111" i="9"/>
  <c r="AL18" i="9"/>
  <c r="AM18" i="9" s="1"/>
  <c r="AL47" i="9"/>
  <c r="AM47" i="9" s="1"/>
  <c r="AL50" i="9"/>
  <c r="AM50" i="9" s="1"/>
  <c r="AL42" i="9"/>
  <c r="AM42" i="9" s="1"/>
  <c r="AL103" i="9"/>
  <c r="AM103" i="9" s="1"/>
  <c r="AL97" i="9"/>
  <c r="AM97" i="9" s="1"/>
  <c r="AO97" i="9" s="1"/>
  <c r="AL99" i="9"/>
  <c r="AM99" i="9" s="1"/>
  <c r="W99" i="9" s="1"/>
  <c r="AL101" i="9"/>
  <c r="AM101" i="9" s="1"/>
  <c r="AO101" i="9" s="1"/>
  <c r="AL98" i="9"/>
  <c r="AM98" i="9" s="1"/>
  <c r="AL102" i="9"/>
  <c r="AM102" i="9" s="1"/>
  <c r="W102" i="9" s="1"/>
  <c r="AL100" i="9"/>
  <c r="AM100" i="9" s="1"/>
  <c r="AL74" i="9"/>
  <c r="AM74" i="9" s="1"/>
  <c r="AO74" i="9" s="1"/>
  <c r="AL85" i="9"/>
  <c r="AM85" i="9" s="1"/>
  <c r="AO85" i="9" s="1"/>
  <c r="AL105" i="9"/>
  <c r="AM105" i="9" s="1"/>
  <c r="AL104" i="9"/>
  <c r="AM104" i="9" s="1"/>
  <c r="AO104" i="9" s="1"/>
  <c r="AL73" i="9"/>
  <c r="AM73" i="9" s="1"/>
  <c r="AL67" i="9"/>
  <c r="AM67" i="9" s="1"/>
  <c r="AL81" i="9"/>
  <c r="AM81" i="9" s="1"/>
  <c r="AL80" i="9"/>
  <c r="AM80" i="9" s="1"/>
  <c r="AL72" i="9"/>
  <c r="AM72" i="9" s="1"/>
  <c r="W72" i="9" s="1"/>
  <c r="AL26" i="9"/>
  <c r="AL8" i="9"/>
  <c r="AM8" i="9" s="1"/>
  <c r="AL75" i="9"/>
  <c r="AM75" i="9" s="1"/>
  <c r="AL89" i="9"/>
  <c r="AM89" i="9" s="1"/>
  <c r="W89" i="9" s="1"/>
  <c r="AL84" i="9"/>
  <c r="AM84" i="9" s="1"/>
  <c r="AL77" i="9"/>
  <c r="AM77" i="9" s="1"/>
  <c r="AL69" i="9"/>
  <c r="AM69" i="9" s="1"/>
  <c r="AL82" i="9"/>
  <c r="AM82" i="9" s="1"/>
  <c r="AL70" i="9"/>
  <c r="AM70" i="9" s="1"/>
  <c r="W70" i="9" s="1"/>
  <c r="AL78" i="9"/>
  <c r="AM78" i="9" s="1"/>
  <c r="AL76" i="9"/>
  <c r="AM76" i="9" s="1"/>
  <c r="AL86" i="9"/>
  <c r="AM86" i="9" s="1"/>
  <c r="AO86" i="9" s="1"/>
  <c r="AL79" i="9"/>
  <c r="AM79" i="9" s="1"/>
  <c r="AL83" i="9"/>
  <c r="AM83" i="9" s="1"/>
  <c r="AL93" i="9"/>
  <c r="AM93" i="9" s="1"/>
  <c r="W93" i="9" s="1"/>
  <c r="AL68" i="9"/>
  <c r="AM68" i="9" s="1"/>
  <c r="AL87" i="9"/>
  <c r="AM87" i="9" s="1"/>
  <c r="AL9" i="9"/>
  <c r="AM9" i="9" s="1"/>
  <c r="AL95" i="9"/>
  <c r="AM95" i="9" s="1"/>
  <c r="AL90" i="9"/>
  <c r="AM90" i="9" s="1"/>
  <c r="AL91" i="9"/>
  <c r="AM91" i="9" s="1"/>
  <c r="AL96" i="9"/>
  <c r="AM96" i="9" s="1"/>
  <c r="W96" i="9" s="1"/>
  <c r="AL61" i="9"/>
  <c r="AM61" i="9" s="1"/>
  <c r="AL65" i="9"/>
  <c r="AM65" i="9" s="1"/>
  <c r="AL66" i="9"/>
  <c r="AM66" i="9" s="1"/>
  <c r="AL92" i="9"/>
  <c r="AM92" i="9" s="1"/>
  <c r="W92" i="9" s="1"/>
  <c r="AL88" i="9"/>
  <c r="AM88" i="9" s="1"/>
  <c r="AL94" i="9"/>
  <c r="AM94" i="9" s="1"/>
  <c r="AL71" i="9"/>
  <c r="AM71" i="9" s="1"/>
  <c r="AL60" i="9"/>
  <c r="AM60" i="9" s="1"/>
  <c r="AL52" i="9"/>
  <c r="AM52" i="9" s="1"/>
  <c r="AL58" i="9"/>
  <c r="AM58" i="9" s="1"/>
  <c r="AL63" i="9"/>
  <c r="AM63" i="9" s="1"/>
  <c r="AL64" i="9"/>
  <c r="AM64" i="9" s="1"/>
  <c r="AL59" i="9"/>
  <c r="AM59" i="9" s="1"/>
  <c r="AL62" i="9"/>
  <c r="AM62" i="9" s="1"/>
  <c r="AL23" i="9"/>
  <c r="AM23" i="9" s="1"/>
  <c r="AL46" i="9"/>
  <c r="AM46" i="9" s="1"/>
  <c r="AM51" i="9"/>
  <c r="AM44" i="9"/>
  <c r="AM40" i="9"/>
  <c r="AM30" i="9"/>
  <c r="AM22" i="9"/>
  <c r="AM17" i="9"/>
  <c r="AM6" i="9"/>
  <c r="AL53" i="9"/>
  <c r="AM53" i="9" s="1"/>
  <c r="AL34" i="9"/>
  <c r="AM34" i="9" s="1"/>
  <c r="AM55" i="9"/>
  <c r="AM39" i="9"/>
  <c r="AM21" i="9"/>
  <c r="AM48" i="9"/>
  <c r="AM33" i="9"/>
  <c r="AM12" i="9"/>
  <c r="AL49" i="9"/>
  <c r="AM49" i="9" s="1"/>
  <c r="AM37" i="9"/>
  <c r="AM13" i="9"/>
  <c r="AM31" i="9"/>
  <c r="AM25" i="9"/>
  <c r="AM43" i="9"/>
  <c r="AM38" i="9"/>
  <c r="AM26" i="9"/>
  <c r="AM14" i="9"/>
  <c r="AM3" i="9"/>
  <c r="W3" i="9" s="1"/>
  <c r="AL45" i="9"/>
  <c r="AM45" i="9" s="1"/>
  <c r="AM36" i="9"/>
  <c r="AM28" i="9"/>
  <c r="AM24" i="9"/>
  <c r="AM11" i="9"/>
  <c r="AM2" i="9"/>
  <c r="AM54" i="9"/>
  <c r="AM35" i="9"/>
  <c r="AM29" i="9"/>
  <c r="AM20" i="9"/>
  <c r="AM16" i="9"/>
  <c r="AM5" i="9"/>
  <c r="AM56" i="9"/>
  <c r="AM41" i="9"/>
  <c r="AM32" i="9"/>
  <c r="AM19" i="9"/>
  <c r="AM15" i="9"/>
  <c r="AM57" i="9"/>
  <c r="AM27" i="9"/>
  <c r="AM10" i="9"/>
  <c r="AM4" i="9"/>
  <c r="AM7" i="9"/>
  <c r="W145" i="9" l="1"/>
  <c r="AO145" i="9"/>
  <c r="AO143" i="9"/>
  <c r="W143" i="9"/>
  <c r="W140" i="9"/>
  <c r="AO140" i="9"/>
  <c r="W134" i="9"/>
  <c r="AO134" i="9"/>
  <c r="W133" i="9"/>
  <c r="AO133" i="9"/>
  <c r="W128" i="9"/>
  <c r="AO128" i="9"/>
  <c r="AO124" i="9"/>
  <c r="W124" i="9"/>
  <c r="AO129" i="9"/>
  <c r="W129" i="9"/>
  <c r="AO114" i="9"/>
  <c r="W114" i="9"/>
  <c r="W112" i="9"/>
  <c r="AO112" i="9"/>
  <c r="W107" i="9"/>
  <c r="W119" i="9"/>
  <c r="AO110" i="9"/>
  <c r="W110" i="9"/>
  <c r="W115" i="9"/>
  <c r="AO115" i="9"/>
  <c r="AO106" i="9"/>
  <c r="AO118" i="9"/>
  <c r="AO121" i="9"/>
  <c r="W121" i="9"/>
  <c r="W117" i="9"/>
  <c r="AO117" i="9"/>
  <c r="W120" i="9"/>
  <c r="AO120" i="9"/>
  <c r="AO108" i="9"/>
  <c r="W108" i="9"/>
  <c r="W109" i="9"/>
  <c r="AO109" i="9"/>
  <c r="AO103" i="9"/>
  <c r="W103" i="9"/>
  <c r="W101" i="9"/>
  <c r="W82" i="9"/>
  <c r="AO82" i="9"/>
  <c r="AO92" i="9"/>
  <c r="AO72" i="9"/>
  <c r="W67" i="9"/>
  <c r="AO67" i="9"/>
  <c r="AO99" i="9"/>
  <c r="W105" i="9"/>
  <c r="AO105" i="9"/>
  <c r="W83" i="9"/>
  <c r="AO83" i="9"/>
  <c r="AO100" i="9"/>
  <c r="W100" i="9"/>
  <c r="W98" i="9"/>
  <c r="AO98" i="9"/>
  <c r="W74" i="9"/>
  <c r="W69" i="9"/>
  <c r="AO69" i="9"/>
  <c r="W80" i="9"/>
  <c r="AO80" i="9"/>
  <c r="W104" i="9"/>
  <c r="AO102" i="9"/>
  <c r="W97" i="9"/>
  <c r="AO87" i="9"/>
  <c r="W87" i="9"/>
  <c r="AO89" i="9"/>
  <c r="W85" i="9"/>
  <c r="AO70" i="9"/>
  <c r="AO93" i="9"/>
  <c r="W71" i="9"/>
  <c r="AO71" i="9"/>
  <c r="W68" i="9"/>
  <c r="AO68" i="9"/>
  <c r="AO88" i="9"/>
  <c r="W88" i="9"/>
  <c r="AO95" i="9"/>
  <c r="W95" i="9"/>
  <c r="AO66" i="9"/>
  <c r="W66" i="9"/>
  <c r="W76" i="9"/>
  <c r="AO76" i="9"/>
  <c r="AO84" i="9"/>
  <c r="W84" i="9"/>
  <c r="AO81" i="9"/>
  <c r="W81" i="9"/>
  <c r="AO96" i="9"/>
  <c r="W73" i="9"/>
  <c r="AO73" i="9"/>
  <c r="AO78" i="9"/>
  <c r="W78" i="9"/>
  <c r="W86" i="9"/>
  <c r="W79" i="9"/>
  <c r="AO79" i="9"/>
  <c r="AO75" i="9"/>
  <c r="W75" i="9"/>
  <c r="W77" i="9"/>
  <c r="AO77" i="9"/>
  <c r="W91" i="9"/>
  <c r="AO91" i="9"/>
  <c r="AO90" i="9"/>
  <c r="W90" i="9"/>
  <c r="W94" i="9"/>
  <c r="AO94" i="9"/>
  <c r="AO62" i="9"/>
  <c r="W62" i="9"/>
  <c r="AO60" i="9"/>
  <c r="W60" i="9"/>
  <c r="AO58" i="9"/>
  <c r="W58" i="9"/>
  <c r="AO65" i="9"/>
  <c r="W65" i="9"/>
  <c r="AO64" i="9"/>
  <c r="W64" i="9"/>
  <c r="AO61" i="9"/>
  <c r="W61" i="9"/>
  <c r="AO63" i="9"/>
  <c r="W63" i="9"/>
  <c r="AO59" i="9"/>
  <c r="W59" i="9"/>
  <c r="AO10" i="9"/>
  <c r="W10" i="9"/>
  <c r="AO50" i="9"/>
  <c r="W50" i="9"/>
  <c r="AO48" i="9"/>
  <c r="W48" i="9"/>
  <c r="AO45" i="9"/>
  <c r="W45" i="9"/>
  <c r="AO8" i="9"/>
  <c r="W8" i="9"/>
  <c r="AO27" i="9"/>
  <c r="W27" i="9"/>
  <c r="AO2" i="9"/>
  <c r="W2" i="9"/>
  <c r="AO30" i="9"/>
  <c r="W30" i="9"/>
  <c r="AO13" i="9"/>
  <c r="W13" i="9"/>
  <c r="AO51" i="9"/>
  <c r="W51" i="9"/>
  <c r="AO46" i="9"/>
  <c r="W46" i="9"/>
  <c r="AO52" i="9"/>
  <c r="W52" i="9"/>
  <c r="AO18" i="9"/>
  <c r="W18" i="9"/>
  <c r="AO54" i="9"/>
  <c r="W54" i="9"/>
  <c r="AO25" i="9"/>
  <c r="W25" i="9"/>
  <c r="AO22" i="9"/>
  <c r="W22" i="9"/>
  <c r="AO56" i="9"/>
  <c r="W56" i="9"/>
  <c r="AO21" i="9"/>
  <c r="W21" i="9"/>
  <c r="AO5" i="9"/>
  <c r="W5" i="9"/>
  <c r="AO14" i="9"/>
  <c r="W14" i="9"/>
  <c r="AO40" i="9"/>
  <c r="W40" i="9"/>
  <c r="AO16" i="9"/>
  <c r="W16" i="9"/>
  <c r="AO37" i="9"/>
  <c r="W37" i="9"/>
  <c r="AO44" i="9"/>
  <c r="W44" i="9"/>
  <c r="AO20" i="9"/>
  <c r="W20" i="9"/>
  <c r="AO26" i="9"/>
  <c r="W26" i="9"/>
  <c r="AO34" i="9"/>
  <c r="W34" i="9"/>
  <c r="AO7" i="9"/>
  <c r="W7" i="9"/>
  <c r="AO19" i="9"/>
  <c r="W19" i="9"/>
  <c r="AO29" i="9"/>
  <c r="W29" i="9"/>
  <c r="AO36" i="9"/>
  <c r="W36" i="9"/>
  <c r="AO38" i="9"/>
  <c r="W38" i="9"/>
  <c r="AO12" i="9"/>
  <c r="W12" i="9"/>
  <c r="AO53" i="9"/>
  <c r="W53" i="9"/>
  <c r="AO41" i="9"/>
  <c r="W41" i="9"/>
  <c r="AO17" i="9"/>
  <c r="W17" i="9"/>
  <c r="AO47" i="9"/>
  <c r="W47" i="9"/>
  <c r="AO31" i="9"/>
  <c r="W31" i="9"/>
  <c r="AO57" i="9"/>
  <c r="W57" i="9"/>
  <c r="AO11" i="9"/>
  <c r="W11" i="9"/>
  <c r="AO39" i="9"/>
  <c r="W39" i="9"/>
  <c r="AO9" i="9"/>
  <c r="W9" i="9"/>
  <c r="AO24" i="9"/>
  <c r="W24" i="9"/>
  <c r="AO23" i="9"/>
  <c r="W23" i="9"/>
  <c r="AO55" i="9"/>
  <c r="W55" i="9"/>
  <c r="AO15" i="9"/>
  <c r="W15" i="9"/>
  <c r="AO28" i="9"/>
  <c r="W28" i="9"/>
  <c r="AO49" i="9"/>
  <c r="W49" i="9"/>
  <c r="AO4" i="9"/>
  <c r="W4" i="9"/>
  <c r="AO32" i="9"/>
  <c r="W32" i="9"/>
  <c r="AO35" i="9"/>
  <c r="W35" i="9"/>
  <c r="AO42" i="9"/>
  <c r="W42" i="9"/>
  <c r="AO43" i="9"/>
  <c r="W43" i="9"/>
  <c r="AO33" i="9"/>
  <c r="W33" i="9"/>
  <c r="AO6" i="9"/>
  <c r="W6" i="9"/>
  <c r="AO3" i="9"/>
</calcChain>
</file>

<file path=xl/sharedStrings.xml><?xml version="1.0" encoding="utf-8"?>
<sst xmlns="http://schemas.openxmlformats.org/spreadsheetml/2006/main" count="1733" uniqueCount="388">
  <si>
    <t>Putt Pirates</t>
  </si>
  <si>
    <t>unit_circle</t>
  </si>
  <si>
    <t>Team Gamble</t>
  </si>
  <si>
    <t>AlphaWired</t>
  </si>
  <si>
    <t>txmoonshine</t>
  </si>
  <si>
    <t>Philly919</t>
  </si>
  <si>
    <t>New Team 4</t>
  </si>
  <si>
    <t>Snead's Foot</t>
  </si>
  <si>
    <t>bird_pts</t>
  </si>
  <si>
    <t>eag_pts</t>
  </si>
  <si>
    <t>bog_pts</t>
  </si>
  <si>
    <t>dbog_pts</t>
  </si>
  <si>
    <t>alb_pts</t>
  </si>
  <si>
    <t>h1_pts</t>
  </si>
  <si>
    <t>other_pts</t>
  </si>
  <si>
    <t>plc_pts</t>
  </si>
  <si>
    <t>team</t>
  </si>
  <si>
    <t>players_started</t>
  </si>
  <si>
    <t>pars_num</t>
  </si>
  <si>
    <t>bird_num</t>
  </si>
  <si>
    <t>eag_num</t>
  </si>
  <si>
    <t>bog_num</t>
  </si>
  <si>
    <t>dbog_num</t>
  </si>
  <si>
    <t>alb_num</t>
  </si>
  <si>
    <t>h1_num</t>
  </si>
  <si>
    <t>other_num</t>
  </si>
  <si>
    <t>plc_total</t>
  </si>
  <si>
    <t>week</t>
  </si>
  <si>
    <t>win_loss</t>
  </si>
  <si>
    <t>opponent</t>
  </si>
  <si>
    <t>Sneads Foot</t>
  </si>
  <si>
    <t>SneadsFoot</t>
  </si>
  <si>
    <t>pars_pts</t>
  </si>
  <si>
    <t>fin_1</t>
  </si>
  <si>
    <t>fin_2</t>
  </si>
  <si>
    <t>fin_3</t>
  </si>
  <si>
    <t>fin_4</t>
  </si>
  <si>
    <t>fin_5</t>
  </si>
  <si>
    <t>fin_6</t>
  </si>
  <si>
    <t>n/a</t>
  </si>
  <si>
    <t>fin_1_pts</t>
  </si>
  <si>
    <t>fin_2_pts</t>
  </si>
  <si>
    <t>fin_3_pts</t>
  </si>
  <si>
    <t>fin_4_pts</t>
  </si>
  <si>
    <t>fin_5_pts</t>
  </si>
  <si>
    <t>fin_6_pts</t>
  </si>
  <si>
    <t>total_holes</t>
  </si>
  <si>
    <t>pp_hole</t>
  </si>
  <si>
    <t>total_pts</t>
  </si>
  <si>
    <t>median</t>
  </si>
  <si>
    <t>median_delta</t>
  </si>
  <si>
    <t>cuts_made</t>
  </si>
  <si>
    <t>ID</t>
  </si>
  <si>
    <t>Pos</t>
  </si>
  <si>
    <t>Player</t>
  </si>
  <si>
    <t>Team</t>
  </si>
  <si>
    <t>Draft</t>
  </si>
  <si>
    <t>Status</t>
  </si>
  <si>
    <t>Fantasy Points</t>
  </si>
  <si>
    <t>Average Fantasy Points per Game</t>
  </si>
  <si>
    <t>TP</t>
  </si>
  <si>
    <t>CtM</t>
  </si>
  <si>
    <t>Cut</t>
  </si>
  <si>
    <t>Par</t>
  </si>
  <si>
    <t>Bir</t>
  </si>
  <si>
    <t>Eag</t>
  </si>
  <si>
    <t>Bog</t>
  </si>
  <si>
    <t>DBo</t>
  </si>
  <si>
    <t>TBog</t>
  </si>
  <si>
    <t>Oth</t>
  </si>
  <si>
    <t>T25</t>
  </si>
  <si>
    <t>T10</t>
  </si>
  <si>
    <t>T5</t>
  </si>
  <si>
    <t>T3</t>
  </si>
  <si>
    <t>W</t>
  </si>
  <si>
    <t>AvPl</t>
  </si>
  <si>
    <t>ScAv</t>
  </si>
  <si>
    <t>Fdx</t>
  </si>
  <si>
    <t>*025ci*</t>
  </si>
  <si>
    <t>Gfr</t>
  </si>
  <si>
    <t>Hideki Matsuyama</t>
  </si>
  <si>
    <t>Act</t>
  </si>
  <si>
    <t>*01qim*</t>
  </si>
  <si>
    <t>Shane Lowry</t>
  </si>
  <si>
    <t>*032pt*</t>
  </si>
  <si>
    <t>Corey Conners</t>
  </si>
  <si>
    <t>*04bz5*</t>
  </si>
  <si>
    <t>Min Woo Lee</t>
  </si>
  <si>
    <t>*027es*</t>
  </si>
  <si>
    <t>Patrick Cantlay</t>
  </si>
  <si>
    <t>*03ppp*</t>
  </si>
  <si>
    <t>Denny McCarthy</t>
  </si>
  <si>
    <t>Res</t>
  </si>
  <si>
    <t>*01qwg*</t>
  </si>
  <si>
    <t>Alex Noren</t>
  </si>
  <si>
    <t>*03mmu*</t>
  </si>
  <si>
    <t>Jake Knapp</t>
  </si>
  <si>
    <t>*039u6*</t>
  </si>
  <si>
    <t>Tommy Fleetwood</t>
  </si>
  <si>
    <t>*03fu2*</t>
  </si>
  <si>
    <t>Taylor Pendrith</t>
  </si>
  <si>
    <t>*041kw*</t>
  </si>
  <si>
    <t>Matt Wallace</t>
  </si>
  <si>
    <t>-</t>
  </si>
  <si>
    <t>*0510p*</t>
  </si>
  <si>
    <t>Austin Eckroat</t>
  </si>
  <si>
    <t>*01pxw*</t>
  </si>
  <si>
    <t>Charley Hoffman</t>
  </si>
  <si>
    <t>*02top*</t>
  </si>
  <si>
    <t>Ben Kohles</t>
  </si>
  <si>
    <t>*01pyk*</t>
  </si>
  <si>
    <t>Billy Horschel</t>
  </si>
  <si>
    <t>*04dx6*</t>
  </si>
  <si>
    <t>Sepp Straka</t>
  </si>
  <si>
    <t>*064q4*</t>
  </si>
  <si>
    <t>Vincent Norrman</t>
  </si>
  <si>
    <t>*04dov*</t>
  </si>
  <si>
    <t>Joaquin Niemann</t>
  </si>
  <si>
    <t>*03lmu*</t>
  </si>
  <si>
    <t>Jon Rahm</t>
  </si>
  <si>
    <t>*027ev*</t>
  </si>
  <si>
    <t>Beau Hossler</t>
  </si>
  <si>
    <t>*01q98*</t>
  </si>
  <si>
    <t>Chris Kirk</t>
  </si>
  <si>
    <t>*0452x*</t>
  </si>
  <si>
    <t>Sungjae Im</t>
  </si>
  <si>
    <t>*01uqg*</t>
  </si>
  <si>
    <t>Russell Henley</t>
  </si>
  <si>
    <t>*030zn*</t>
  </si>
  <si>
    <t>Max Homa</t>
  </si>
  <si>
    <t>*01ra6*</t>
  </si>
  <si>
    <t>Justin Rose</t>
  </si>
  <si>
    <t>*01qha*</t>
  </si>
  <si>
    <t>Luke List</t>
  </si>
  <si>
    <t>*03d9m*</t>
  </si>
  <si>
    <t>Daniel Berger</t>
  </si>
  <si>
    <t>*04zhs*</t>
  </si>
  <si>
    <t>Garrick Higgo</t>
  </si>
  <si>
    <t>*033hd*</t>
  </si>
  <si>
    <t>Justin Lower</t>
  </si>
  <si>
    <t>*01v9t*</t>
  </si>
  <si>
    <t>Tyrrell Hatton</t>
  </si>
  <si>
    <t>*060g2*</t>
  </si>
  <si>
    <t>Chris Gotterup</t>
  </si>
  <si>
    <t>*03pjt*</t>
  </si>
  <si>
    <t>Seamus Power</t>
  </si>
  <si>
    <t>*050qx*</t>
  </si>
  <si>
    <t>Seonghyeon Kim</t>
  </si>
  <si>
    <t>*0603u*</t>
  </si>
  <si>
    <t>Samuel Stevens</t>
  </si>
  <si>
    <t>*03o6j*</t>
  </si>
  <si>
    <t>Tyler Duncan</t>
  </si>
  <si>
    <t>*01uql*</t>
  </si>
  <si>
    <t>Andrew Putnam</t>
  </si>
  <si>
    <t>*03lkb*</t>
  </si>
  <si>
    <t>Cameron Smith</t>
  </si>
  <si>
    <t>*05l0g*</t>
  </si>
  <si>
    <t>Peter Kuest</t>
  </si>
  <si>
    <t>*01s08*</t>
  </si>
  <si>
    <t>Gary Woodland</t>
  </si>
  <si>
    <t>*054yw*</t>
  </si>
  <si>
    <t>Taylor Montgomery</t>
  </si>
  <si>
    <t>*03nur*</t>
  </si>
  <si>
    <t>Sam Burns</t>
  </si>
  <si>
    <t>*0401u*</t>
  </si>
  <si>
    <t>Xander Schauffele</t>
  </si>
  <si>
    <t>*02h6r*</t>
  </si>
  <si>
    <t>Harris English</t>
  </si>
  <si>
    <t>*01z7y*</t>
  </si>
  <si>
    <t>Brian Harman</t>
  </si>
  <si>
    <t>*02mut*</t>
  </si>
  <si>
    <t>Patrick Rodgers</t>
  </si>
  <si>
    <t>*041jw*</t>
  </si>
  <si>
    <t>Aaron Rai</t>
  </si>
  <si>
    <t>*01uh8*</t>
  </si>
  <si>
    <t>Jordan Spieth</t>
  </si>
  <si>
    <t>*01pb5*</t>
  </si>
  <si>
    <t>Jason Day</t>
  </si>
  <si>
    <t>*042bw*</t>
  </si>
  <si>
    <t>Thomas Detry</t>
  </si>
  <si>
    <t>*060z5*</t>
  </si>
  <si>
    <t>Jacob Bridgeman</t>
  </si>
  <si>
    <t>*04syb*</t>
  </si>
  <si>
    <t>Carl Yuan</t>
  </si>
  <si>
    <t>*03scq*</t>
  </si>
  <si>
    <t>J.J. Spaun</t>
  </si>
  <si>
    <t>*01qba*</t>
  </si>
  <si>
    <t>Matt Kuchar</t>
  </si>
  <si>
    <t>*061qp*</t>
  </si>
  <si>
    <t>Adrien Dumont De Chassart</t>
  </si>
  <si>
    <t>*03ppr*</t>
  </si>
  <si>
    <t>Davis Riley</t>
  </si>
  <si>
    <t>*05lo8*</t>
  </si>
  <si>
    <t>Ludvig Aberg</t>
  </si>
  <si>
    <t>*01rp9*</t>
  </si>
  <si>
    <t>Justin Thomas</t>
  </si>
  <si>
    <t>*02yk2*</t>
  </si>
  <si>
    <t>Si Woo Kim</t>
  </si>
  <si>
    <t>*0510x*</t>
  </si>
  <si>
    <t>Cameron Young</t>
  </si>
  <si>
    <t>*03oet*</t>
  </si>
  <si>
    <t>Erik Van Rooyen</t>
  </si>
  <si>
    <t>*041lc*</t>
  </si>
  <si>
    <t>Taylor Moore</t>
  </si>
  <si>
    <t>*04z4l*</t>
  </si>
  <si>
    <t>Akshay Bhatia</t>
  </si>
  <si>
    <t>*0510w*</t>
  </si>
  <si>
    <t>Brandon Wu</t>
  </si>
  <si>
    <t>*041km*</t>
  </si>
  <si>
    <t>Justin Suh</t>
  </si>
  <si>
    <t>*028im*</t>
  </si>
  <si>
    <t>Thorbjorn Olesen</t>
  </si>
  <si>
    <t>*04mho*</t>
  </si>
  <si>
    <t>Robert Macintyre</t>
  </si>
  <si>
    <t>*051lw*</t>
  </si>
  <si>
    <t>Dylan Wu</t>
  </si>
  <si>
    <t>*01rud*</t>
  </si>
  <si>
    <t>Camilo Villegas</t>
  </si>
  <si>
    <t>*02toq*</t>
  </si>
  <si>
    <t>Matthew NeSmith</t>
  </si>
  <si>
    <t>*05t5b*</t>
  </si>
  <si>
    <t>Pierceson Coody</t>
  </si>
  <si>
    <t>*02i28*</t>
  </si>
  <si>
    <t>Emiliano Grillo</t>
  </si>
  <si>
    <t>*03cp4*</t>
  </si>
  <si>
    <t>Scottie Scheffler</t>
  </si>
  <si>
    <t>*03yr5*</t>
  </si>
  <si>
    <t>Christiaan Bezuidenhout</t>
  </si>
  <si>
    <t>*041j5*</t>
  </si>
  <si>
    <t>Keith Mitchell</t>
  </si>
  <si>
    <t>*04ant*</t>
  </si>
  <si>
    <t>Sahith Theegala</t>
  </si>
  <si>
    <t>*03mop*</t>
  </si>
  <si>
    <t>Will Zalatoris</t>
  </si>
  <si>
    <t>*05xp0*</t>
  </si>
  <si>
    <t>Ryo Hisatsune</t>
  </si>
  <si>
    <t>*049tv*</t>
  </si>
  <si>
    <t>Kurt Kitayama</t>
  </si>
  <si>
    <t>*049uf*</t>
  </si>
  <si>
    <t>Cameron Davis</t>
  </si>
  <si>
    <t>*01rol*</t>
  </si>
  <si>
    <t>Nick Taylor</t>
  </si>
  <si>
    <t>*05olq*</t>
  </si>
  <si>
    <t>Carson Young</t>
  </si>
  <si>
    <t>*01otb*</t>
  </si>
  <si>
    <t>Aaron Baddeley</t>
  </si>
  <si>
    <t>*02oyu*</t>
  </si>
  <si>
    <t>Mackenzie Hughes</t>
  </si>
  <si>
    <t>*050au*</t>
  </si>
  <si>
    <t>Rasmus Hojgaard</t>
  </si>
  <si>
    <t>*02k0v*</t>
  </si>
  <si>
    <t>Brooks Koepka</t>
  </si>
  <si>
    <t>*04fki*</t>
  </si>
  <si>
    <t>Adrian Meronk</t>
  </si>
  <si>
    <t>*03fu3*</t>
  </si>
  <si>
    <t>Ben Silverman</t>
  </si>
  <si>
    <t>*030zq*</t>
  </si>
  <si>
    <t>Grayson Murray</t>
  </si>
  <si>
    <t>*04dox*</t>
  </si>
  <si>
    <t>Alex Smalley</t>
  </si>
  <si>
    <t>*01s0c*</t>
  </si>
  <si>
    <t>Tiger Woods</t>
  </si>
  <si>
    <t>*01pj5*</t>
  </si>
  <si>
    <t>Tony Finau</t>
  </si>
  <si>
    <t>*01pk8*</t>
  </si>
  <si>
    <t>Rickie Fowler</t>
  </si>
  <si>
    <t>*01qo2*</t>
  </si>
  <si>
    <t>Rory McIlroy</t>
  </si>
  <si>
    <t>*01re1*</t>
  </si>
  <si>
    <t>Adam Scott</t>
  </si>
  <si>
    <t>*03uzn*</t>
  </si>
  <si>
    <t>Sam Ryder</t>
  </si>
  <si>
    <t>*05opo*</t>
  </si>
  <si>
    <t>Parker Coody</t>
  </si>
  <si>
    <t>*061qc*</t>
  </si>
  <si>
    <t>Nick Dunlap</t>
  </si>
  <si>
    <t>*01pop*</t>
  </si>
  <si>
    <t>Lucas Glover</t>
  </si>
  <si>
    <t>*03ppj*</t>
  </si>
  <si>
    <t>Nick Hardy</t>
  </si>
  <si>
    <t>*01rjx*</t>
  </si>
  <si>
    <t>Scott Stallings</t>
  </si>
  <si>
    <t>*04ymp*</t>
  </si>
  <si>
    <t>Vincent Whaley</t>
  </si>
  <si>
    <t>*01qrr*</t>
  </si>
  <si>
    <t>Ryan Moore</t>
  </si>
  <si>
    <t>*04dor*</t>
  </si>
  <si>
    <t>Cameron Champ</t>
  </si>
  <si>
    <t>*041he*</t>
  </si>
  <si>
    <t>Wesley Bryan</t>
  </si>
  <si>
    <t>*06al3*</t>
  </si>
  <si>
    <t>Gordon Sargent</t>
  </si>
  <si>
    <t>*01q9b*</t>
  </si>
  <si>
    <t>Kevin Kisner</t>
  </si>
  <si>
    <t>*02ytc*</t>
  </si>
  <si>
    <t>Stephan Jaeger</t>
  </si>
  <si>
    <t>*05osh*</t>
  </si>
  <si>
    <t>Eric Cole</t>
  </si>
  <si>
    <t>*01szi*</t>
  </si>
  <si>
    <t>Byeong Hun An</t>
  </si>
  <si>
    <t>*04ece*</t>
  </si>
  <si>
    <t>Wyndham Clark</t>
  </si>
  <si>
    <t>*029fh*</t>
  </si>
  <si>
    <t>Tom Hoge</t>
  </si>
  <si>
    <t>*060yj*</t>
  </si>
  <si>
    <t>Ben Griffin</t>
  </si>
  <si>
    <t>*041jm*</t>
  </si>
  <si>
    <t>Matthieu Pavon</t>
  </si>
  <si>
    <t>*04xua*</t>
  </si>
  <si>
    <t>Viktor Hovland</t>
  </si>
  <si>
    <t>*02too*</t>
  </si>
  <si>
    <t>Chesson Hadley</t>
  </si>
  <si>
    <t>*01q9i*</t>
  </si>
  <si>
    <t>Patton Kizzire</t>
  </si>
  <si>
    <t>*03d9w*</t>
  </si>
  <si>
    <t>Kyoung-Hoon Lee</t>
  </si>
  <si>
    <t>*032pw*</t>
  </si>
  <si>
    <t>Adam Svensson</t>
  </si>
  <si>
    <t>*04mkw*</t>
  </si>
  <si>
    <t>Doug Ghim</t>
  </si>
  <si>
    <t>*030zo*</t>
  </si>
  <si>
    <t>Michael Kim</t>
  </si>
  <si>
    <t>*03pa9*</t>
  </si>
  <si>
    <t>Adam Schenk</t>
  </si>
  <si>
    <t>*04uqe*</t>
  </si>
  <si>
    <t>Lee Hodges</t>
  </si>
  <si>
    <t>*02ibl*</t>
  </si>
  <si>
    <t>Kelly Kraft</t>
  </si>
  <si>
    <t>*041js*</t>
  </si>
  <si>
    <t>J.T. Poston</t>
  </si>
  <si>
    <t>*050qw*</t>
  </si>
  <si>
    <t>Tom Kim</t>
  </si>
  <si>
    <t>*05abl*</t>
  </si>
  <si>
    <t>Davis Thompson</t>
  </si>
  <si>
    <t>*01oz6*</t>
  </si>
  <si>
    <t>Keegan Bradley</t>
  </si>
  <si>
    <t>*031vh*</t>
  </si>
  <si>
    <t>Matthew Fitzpatrick</t>
  </si>
  <si>
    <t>*033hc*</t>
  </si>
  <si>
    <t>Mark Hubbard</t>
  </si>
  <si>
    <t>*04on9*</t>
  </si>
  <si>
    <t>Nicolai Hojgaard</t>
  </si>
  <si>
    <t>*042vf*</t>
  </si>
  <si>
    <t>Collin Morikawa</t>
  </si>
  <si>
    <t>*05a2g*</t>
  </si>
  <si>
    <t>Alejandro Tosti</t>
  </si>
  <si>
    <t>*01whh*</t>
  </si>
  <si>
    <t>Adam Hadwin</t>
  </si>
  <si>
    <t>*03d9y*</t>
  </si>
  <si>
    <t>Maverick McNealy</t>
  </si>
  <si>
    <t>*01rq8*</t>
  </si>
  <si>
    <t>Brendon Todd</t>
  </si>
  <si>
    <t>*03o78*</t>
  </si>
  <si>
    <t>Ryan Fox</t>
  </si>
  <si>
    <t>*04pig*</t>
  </si>
  <si>
    <t>kevin Yu</t>
  </si>
  <si>
    <t>*01rgl*</t>
  </si>
  <si>
    <t>Webb Simpson</t>
  </si>
  <si>
    <t>*01rtx*</t>
  </si>
  <si>
    <t>Jhonattan Vegas</t>
  </si>
  <si>
    <t>*03ftx*</t>
  </si>
  <si>
    <t>Joel Dahmen</t>
  </si>
  <si>
    <t>*01uqe*</t>
  </si>
  <si>
    <t>Joseph Bramlett</t>
  </si>
  <si>
    <t>*03pjm*</t>
  </si>
  <si>
    <t>Bryson DeChambeau</t>
  </si>
  <si>
    <t>*04lyn*</t>
  </si>
  <si>
    <t>Andrew Novak</t>
  </si>
  <si>
    <t>*039es*</t>
  </si>
  <si>
    <t>Peter Malnati</t>
  </si>
  <si>
    <t>*04dot*</t>
  </si>
  <si>
    <t>Max Greyserman</t>
  </si>
  <si>
    <t>*059a2*</t>
  </si>
  <si>
    <t>Chandler Phillips</t>
  </si>
  <si>
    <t>*01q3f*</t>
  </si>
  <si>
    <t>Dustin Johnson</t>
  </si>
  <si>
    <t>*03oay*</t>
  </si>
  <si>
    <t>Nate Lashley</t>
  </si>
  <si>
    <t>Current Standings</t>
  </si>
  <si>
    <t>*03o9b*</t>
  </si>
  <si>
    <t>Chan Kim</t>
  </si>
  <si>
    <t>*04lre*</t>
  </si>
  <si>
    <t>Greyson Sigg</t>
  </si>
  <si>
    <t>*0529f*</t>
  </si>
  <si>
    <t>Matthias Schmid</t>
  </si>
  <si>
    <t>*01qzh*</t>
  </si>
  <si>
    <t>C.T. Pan</t>
  </si>
  <si>
    <t>AlphaWired'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</si>
</sst>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2" fontId="0" fillId="0" borderId="0" xfId="0" applyNumberFormat="1"/>
    <xf numFmtId="0" fontId="1" fillId="0" borderId="0" xfId="1"/>
    <xf numFmtId="0" fontId="1" fillId="2" borderId="0" xfId="1" applyFill="1"/>
    <xf numFmtId="0" fontId="1" fillId="3" borderId="0" xfId="1" applyFill="1"/>
    <xf numFmtId="0" fontId="1" fillId="0" borderId="0" xfId="1" applyFill="1"/>
    <xf numFmtId="3" fontId="0" fillId="0" borderId="0" xfId="0" applyNumberFormat="1"/>
  </cellXfs>
  <cellStyles count="2">
    <cellStyle name="Heading 4" xfId="1" builtinId="1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B9521-756F-4245-AEE5-27FF068884DA}">
  <dimension ref="A1:AO145"/>
  <sheetViews>
    <sheetView tabSelected="1" topLeftCell="N1" zoomScaleNormal="100" workbookViewId="0">
      <pane ySplit="1" topLeftCell="A122" activePane="bottomLeft" state="frozen"/>
      <selection pane="bottomLeft" activeCell="A143" sqref="A143"/>
    </sheetView>
  </sheetViews>
  <sheetFormatPr defaultRowHeight="15" x14ac:dyDescent="0.25"/>
  <cols>
    <col min="1" max="1" width="13.42578125" bestFit="1" customWidth="1"/>
    <col min="14" max="14" width="13.42578125" bestFit="1" customWidth="1"/>
    <col min="22" max="22" width="10.7109375" bestFit="1" customWidth="1"/>
    <col min="39" max="39" width="11.140625" bestFit="1" customWidth="1"/>
  </cols>
  <sheetData>
    <row r="1" spans="1:41" x14ac:dyDescent="0.25">
      <c r="A1" s="2" t="s">
        <v>16</v>
      </c>
      <c r="B1" s="3" t="s">
        <v>17</v>
      </c>
      <c r="C1" s="3" t="s">
        <v>18</v>
      </c>
      <c r="D1" s="3" t="s">
        <v>19</v>
      </c>
      <c r="E1" s="3" t="s">
        <v>20</v>
      </c>
      <c r="F1" s="3" t="s">
        <v>21</v>
      </c>
      <c r="G1" s="3" t="s">
        <v>22</v>
      </c>
      <c r="H1" s="3" t="s">
        <v>23</v>
      </c>
      <c r="I1" s="3" t="s">
        <v>24</v>
      </c>
      <c r="J1" s="3" t="s">
        <v>25</v>
      </c>
      <c r="K1" s="3" t="s">
        <v>26</v>
      </c>
      <c r="L1" s="4" t="s">
        <v>27</v>
      </c>
      <c r="M1" s="4" t="s">
        <v>28</v>
      </c>
      <c r="N1" s="4" t="s">
        <v>29</v>
      </c>
      <c r="O1" s="4" t="s">
        <v>33</v>
      </c>
      <c r="P1" s="4" t="s">
        <v>34</v>
      </c>
      <c r="Q1" s="4" t="s">
        <v>35</v>
      </c>
      <c r="R1" s="4" t="s">
        <v>36</v>
      </c>
      <c r="S1" s="4" t="s">
        <v>37</v>
      </c>
      <c r="T1" s="4" t="s">
        <v>38</v>
      </c>
      <c r="U1" s="4" t="s">
        <v>49</v>
      </c>
      <c r="V1" s="4" t="s">
        <v>51</v>
      </c>
      <c r="W1" s="5" t="s">
        <v>50</v>
      </c>
      <c r="X1" s="2" t="s">
        <v>40</v>
      </c>
      <c r="Y1" s="2" t="s">
        <v>41</v>
      </c>
      <c r="Z1" s="2" t="s">
        <v>42</v>
      </c>
      <c r="AA1" s="2" t="s">
        <v>43</v>
      </c>
      <c r="AB1" s="2" t="s">
        <v>44</v>
      </c>
      <c r="AC1" s="2" t="s">
        <v>45</v>
      </c>
      <c r="AD1" s="2" t="s">
        <v>32</v>
      </c>
      <c r="AE1" s="2" t="s">
        <v>8</v>
      </c>
      <c r="AF1" s="2" t="s">
        <v>9</v>
      </c>
      <c r="AG1" s="2" t="s">
        <v>10</v>
      </c>
      <c r="AH1" s="2" t="s">
        <v>11</v>
      </c>
      <c r="AI1" s="2" t="s">
        <v>12</v>
      </c>
      <c r="AJ1" s="2" t="s">
        <v>13</v>
      </c>
      <c r="AK1" s="2" t="s">
        <v>14</v>
      </c>
      <c r="AL1" s="2" t="s">
        <v>15</v>
      </c>
      <c r="AM1" s="2" t="s">
        <v>48</v>
      </c>
      <c r="AN1" s="2" t="s">
        <v>46</v>
      </c>
      <c r="AO1" s="2" t="s">
        <v>47</v>
      </c>
    </row>
    <row r="2" spans="1:41" x14ac:dyDescent="0.25">
      <c r="A2" t="s">
        <v>3</v>
      </c>
      <c r="B2">
        <v>6</v>
      </c>
      <c r="C2">
        <v>233</v>
      </c>
      <c r="D2">
        <v>85</v>
      </c>
      <c r="E2">
        <v>2</v>
      </c>
      <c r="F2">
        <v>36</v>
      </c>
      <c r="G2">
        <v>3</v>
      </c>
      <c r="H2">
        <v>0</v>
      </c>
      <c r="I2">
        <v>0</v>
      </c>
      <c r="J2">
        <v>1</v>
      </c>
      <c r="K2">
        <v>229</v>
      </c>
      <c r="L2">
        <v>1</v>
      </c>
      <c r="M2">
        <v>0</v>
      </c>
      <c r="N2" t="s">
        <v>0</v>
      </c>
      <c r="O2">
        <v>10</v>
      </c>
      <c r="P2">
        <v>13</v>
      </c>
      <c r="Q2">
        <v>18</v>
      </c>
      <c r="R2">
        <v>24</v>
      </c>
      <c r="S2">
        <v>82</v>
      </c>
      <c r="T2">
        <v>82</v>
      </c>
      <c r="U2">
        <v>409.3</v>
      </c>
      <c r="V2">
        <v>4</v>
      </c>
      <c r="W2">
        <f t="shared" ref="W2:W33" si="0">AM2-U2</f>
        <v>-21.800000000000011</v>
      </c>
      <c r="X2">
        <f t="shared" ref="X2:X33" si="1">IF(O2=1,50,IF(O2=2,25,IF(O2=3,18,IF(O2=4,16,IF(O2=5,14,IF(O2=6,12,IF(O2=7,10,IF(O2=8,9,IF(O2=10,7,IF(O2&lt;=15,6,IF(O2&lt;=20,5,IF(O2&lt;=25,4,IF(O2&lt;=30,3,IF(O2&lt;=40,2,IF(O2&lt;=50,1,IF(O2&gt;50,0))))))))))))))))</f>
        <v>7</v>
      </c>
      <c r="Y2">
        <f t="shared" ref="Y2:Y33" si="2">IF(P2=1,50,IF(P2=2,25,IF(P2=3,18,IF(P2=4,16,IF(P2=5,14,IF(P2=6,12,IF(P2=7,10,IF(P2=8,9,IF(P2=10,7,IF(P2&lt;=15,6,IF(P2&lt;=20,5,IF(P2&lt;=25,4,IF(P2&lt;=30,3,IF(P2&lt;=40,2,IF(P2&lt;=50,1,IF(P2&gt;50,0))))))))))))))))</f>
        <v>6</v>
      </c>
      <c r="Z2">
        <f t="shared" ref="Z2:Z33" si="3">IF(Q2=1,50,IF(Q2=2,25,IF(Q2=3,18,IF(Q2=4,16,IF(Q2=5,14,IF(Q2=6,12,IF(Q2=7,10,IF(Q2=8,9,IF(Q2=10,7,IF(Q2&lt;=15,6,IF(Q2&lt;=20,5,IF(Q2&lt;=25,4,IF(Q2&lt;=30,3,IF(Q2&lt;=40,2,IF(Q2&lt;=50,1,IF(Q2&gt;50,0))))))))))))))))</f>
        <v>5</v>
      </c>
      <c r="AA2">
        <f t="shared" ref="AA2:AA33" si="4">IF(R2=1,50,IF(R2=2,25,IF(R2=3,18,IF(R2=4,16,IF(R2=5,14,IF(R2=6,12,IF(R2=7,10,IF(R2=8,9,IF(R2=10,7,IF(R2&lt;=15,6,IF(R2&lt;=20,5,IF(R2&lt;=25,4,IF(R2&lt;=30,3,IF(R2&lt;=40,2,IF(R2&lt;=50,1,IF(R2&gt;50,0))))))))))))))))</f>
        <v>4</v>
      </c>
      <c r="AB2">
        <f t="shared" ref="AB2:AB33" si="5">IF(S2=1,50,IF(S2=2,25,IF(S2=3,18,IF(S2=4,16,IF(S2=5,14,IF(S2=6,12,IF(S2=7,10,IF(S2=8,9,IF(S2=10,7,IF(S2&lt;=15,6,IF(S2&lt;=20,5,IF(S2&lt;=25,4,IF(S2&lt;=30,3,IF(S2&lt;=40,2,IF(S2&lt;=50,1,IF(S2&gt;50,0))))))))))))))))</f>
        <v>0</v>
      </c>
      <c r="AC2">
        <f t="shared" ref="AC2:AC33" si="6">IF(T2=1,50,IF(T2=2,25,IF(T2=3,18,IF(T2=4,16,IF(T2=5,14,IF(T2=6,12,IF(T2=7,10,IF(T2=8,9,IF(T2=10,7,IF(T2&lt;=15,6,IF(T2&lt;=20,5,IF(T2&lt;=25,4,IF(T2&lt;=30,3,IF(T2&lt;=40,2,IF(T2&lt;=50,1,IF(T2&gt;50,0))))))))))))))))</f>
        <v>0</v>
      </c>
      <c r="AD2">
        <f t="shared" ref="AD2:AD33" si="7">C2*0.5</f>
        <v>116.5</v>
      </c>
      <c r="AE2">
        <f t="shared" ref="AE2:AE33" si="8">D2*3</f>
        <v>255</v>
      </c>
      <c r="AF2">
        <f t="shared" ref="AF2:AF33" si="9">E2*8</f>
        <v>16</v>
      </c>
      <c r="AG2">
        <f t="shared" ref="AG2:AG33" si="10">-1*(F2/2)</f>
        <v>-18</v>
      </c>
      <c r="AH2">
        <f t="shared" ref="AH2:AH33" si="11">G2*-1</f>
        <v>-3</v>
      </c>
      <c r="AI2">
        <f t="shared" ref="AI2:AI33" si="12">H2*13</f>
        <v>0</v>
      </c>
      <c r="AJ2">
        <f t="shared" ref="AJ2:AJ33" si="13">I2*5</f>
        <v>0</v>
      </c>
      <c r="AK2">
        <f t="shared" ref="AK2:AK33" si="14">J2*-1</f>
        <v>-1</v>
      </c>
      <c r="AL2">
        <f t="shared" ref="AL2:AL33" si="15">SUM(X2:AC2)</f>
        <v>22</v>
      </c>
      <c r="AM2">
        <f t="shared" ref="AM2:AM33" si="16">SUM(AD2:AL2)</f>
        <v>387.5</v>
      </c>
      <c r="AN2">
        <f t="shared" ref="AN2:AN33" si="17">SUM(C2:G2,J2)</f>
        <v>360</v>
      </c>
      <c r="AO2" s="1">
        <f t="shared" ref="AO2:AO33" si="18">AM2/AN2</f>
        <v>1.0763888888888888</v>
      </c>
    </row>
    <row r="3" spans="1:41" x14ac:dyDescent="0.25">
      <c r="A3" t="s">
        <v>6</v>
      </c>
      <c r="B3">
        <v>3</v>
      </c>
      <c r="C3">
        <v>137</v>
      </c>
      <c r="D3">
        <v>49</v>
      </c>
      <c r="E3">
        <v>4</v>
      </c>
      <c r="F3">
        <v>24</v>
      </c>
      <c r="G3">
        <v>2</v>
      </c>
      <c r="H3">
        <v>0</v>
      </c>
      <c r="I3">
        <v>0</v>
      </c>
      <c r="J3">
        <v>0</v>
      </c>
      <c r="K3">
        <v>85</v>
      </c>
      <c r="L3">
        <v>1</v>
      </c>
      <c r="M3">
        <v>0</v>
      </c>
      <c r="N3" t="s">
        <v>5</v>
      </c>
      <c r="O3">
        <v>13</v>
      </c>
      <c r="P3">
        <v>30</v>
      </c>
      <c r="Q3">
        <v>42</v>
      </c>
      <c r="R3" t="s">
        <v>39</v>
      </c>
      <c r="S3" t="s">
        <v>39</v>
      </c>
      <c r="T3" t="s">
        <v>39</v>
      </c>
      <c r="U3">
        <v>409.3</v>
      </c>
      <c r="V3">
        <v>3</v>
      </c>
      <c r="W3">
        <f t="shared" si="0"/>
        <v>-165.8</v>
      </c>
      <c r="X3">
        <f t="shared" si="1"/>
        <v>6</v>
      </c>
      <c r="Y3">
        <f t="shared" si="2"/>
        <v>3</v>
      </c>
      <c r="Z3">
        <f t="shared" si="3"/>
        <v>1</v>
      </c>
      <c r="AA3">
        <f t="shared" si="4"/>
        <v>0</v>
      </c>
      <c r="AB3">
        <f t="shared" si="5"/>
        <v>0</v>
      </c>
      <c r="AC3">
        <f t="shared" si="6"/>
        <v>0</v>
      </c>
      <c r="AD3">
        <f t="shared" si="7"/>
        <v>68.5</v>
      </c>
      <c r="AE3">
        <f t="shared" si="8"/>
        <v>147</v>
      </c>
      <c r="AF3">
        <f t="shared" si="9"/>
        <v>32</v>
      </c>
      <c r="AG3">
        <f t="shared" si="10"/>
        <v>-12</v>
      </c>
      <c r="AH3">
        <f t="shared" si="11"/>
        <v>-2</v>
      </c>
      <c r="AI3">
        <f t="shared" si="12"/>
        <v>0</v>
      </c>
      <c r="AJ3">
        <f t="shared" si="13"/>
        <v>0</v>
      </c>
      <c r="AK3">
        <f t="shared" si="14"/>
        <v>0</v>
      </c>
      <c r="AL3">
        <f t="shared" si="15"/>
        <v>10</v>
      </c>
      <c r="AM3">
        <f t="shared" si="16"/>
        <v>243.5</v>
      </c>
      <c r="AN3">
        <f t="shared" si="17"/>
        <v>216</v>
      </c>
      <c r="AO3" s="1">
        <f t="shared" si="18"/>
        <v>1.1273148148148149</v>
      </c>
    </row>
    <row r="4" spans="1:41" x14ac:dyDescent="0.25">
      <c r="A4" t="s">
        <v>5</v>
      </c>
      <c r="B4">
        <v>6</v>
      </c>
      <c r="C4">
        <v>284</v>
      </c>
      <c r="D4">
        <v>93</v>
      </c>
      <c r="E4">
        <v>4</v>
      </c>
      <c r="F4">
        <v>51</v>
      </c>
      <c r="G4">
        <v>0</v>
      </c>
      <c r="H4">
        <v>0</v>
      </c>
      <c r="I4">
        <v>0</v>
      </c>
      <c r="J4">
        <v>0</v>
      </c>
      <c r="K4">
        <v>232</v>
      </c>
      <c r="L4">
        <v>1</v>
      </c>
      <c r="M4">
        <v>1</v>
      </c>
      <c r="N4" t="s">
        <v>6</v>
      </c>
      <c r="O4">
        <v>4</v>
      </c>
      <c r="P4">
        <v>13</v>
      </c>
      <c r="Q4">
        <v>18</v>
      </c>
      <c r="R4">
        <v>57</v>
      </c>
      <c r="S4">
        <v>66</v>
      </c>
      <c r="T4">
        <v>74</v>
      </c>
      <c r="U4">
        <v>409.3</v>
      </c>
      <c r="V4">
        <v>6</v>
      </c>
      <c r="W4">
        <f t="shared" si="0"/>
        <v>45.199999999999989</v>
      </c>
      <c r="X4">
        <f t="shared" si="1"/>
        <v>16</v>
      </c>
      <c r="Y4">
        <f t="shared" si="2"/>
        <v>6</v>
      </c>
      <c r="Z4">
        <f t="shared" si="3"/>
        <v>5</v>
      </c>
      <c r="AA4">
        <f t="shared" si="4"/>
        <v>0</v>
      </c>
      <c r="AB4">
        <f t="shared" si="5"/>
        <v>0</v>
      </c>
      <c r="AC4">
        <f t="shared" si="6"/>
        <v>0</v>
      </c>
      <c r="AD4">
        <f t="shared" si="7"/>
        <v>142</v>
      </c>
      <c r="AE4">
        <f t="shared" si="8"/>
        <v>279</v>
      </c>
      <c r="AF4">
        <f t="shared" si="9"/>
        <v>32</v>
      </c>
      <c r="AG4">
        <f t="shared" si="10"/>
        <v>-25.5</v>
      </c>
      <c r="AH4">
        <f t="shared" si="11"/>
        <v>0</v>
      </c>
      <c r="AI4">
        <f t="shared" si="12"/>
        <v>0</v>
      </c>
      <c r="AJ4">
        <f t="shared" si="13"/>
        <v>0</v>
      </c>
      <c r="AK4">
        <f t="shared" si="14"/>
        <v>0</v>
      </c>
      <c r="AL4">
        <f t="shared" si="15"/>
        <v>27</v>
      </c>
      <c r="AM4">
        <f t="shared" si="16"/>
        <v>454.5</v>
      </c>
      <c r="AN4">
        <f t="shared" si="17"/>
        <v>432</v>
      </c>
      <c r="AO4" s="1">
        <f t="shared" si="18"/>
        <v>1.0520833333333333</v>
      </c>
    </row>
    <row r="5" spans="1:41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  <c r="O5">
        <v>7</v>
      </c>
      <c r="P5">
        <v>7</v>
      </c>
      <c r="Q5">
        <v>24</v>
      </c>
      <c r="R5">
        <v>30</v>
      </c>
      <c r="S5">
        <v>82</v>
      </c>
      <c r="T5">
        <v>82</v>
      </c>
      <c r="U5">
        <v>409.3</v>
      </c>
      <c r="V5">
        <v>4</v>
      </c>
      <c r="W5">
        <f t="shared" si="0"/>
        <v>2.6999999999999886</v>
      </c>
      <c r="X5">
        <f t="shared" si="1"/>
        <v>10</v>
      </c>
      <c r="Y5">
        <f t="shared" si="2"/>
        <v>10</v>
      </c>
      <c r="Z5">
        <f t="shared" si="3"/>
        <v>4</v>
      </c>
      <c r="AA5">
        <f t="shared" si="4"/>
        <v>3</v>
      </c>
      <c r="AB5">
        <f t="shared" si="5"/>
        <v>0</v>
      </c>
      <c r="AC5">
        <f t="shared" si="6"/>
        <v>0</v>
      </c>
      <c r="AD5">
        <f t="shared" si="7"/>
        <v>112</v>
      </c>
      <c r="AE5">
        <f t="shared" si="8"/>
        <v>243</v>
      </c>
      <c r="AF5">
        <f t="shared" si="9"/>
        <v>56</v>
      </c>
      <c r="AG5">
        <f t="shared" si="10"/>
        <v>-22</v>
      </c>
      <c r="AH5">
        <f t="shared" si="11"/>
        <v>-4</v>
      </c>
      <c r="AI5">
        <f t="shared" si="12"/>
        <v>0</v>
      </c>
      <c r="AJ5">
        <f t="shared" si="13"/>
        <v>0</v>
      </c>
      <c r="AK5">
        <f t="shared" si="14"/>
        <v>0</v>
      </c>
      <c r="AL5">
        <f t="shared" si="15"/>
        <v>27</v>
      </c>
      <c r="AM5">
        <f t="shared" si="16"/>
        <v>412</v>
      </c>
      <c r="AN5">
        <f t="shared" si="17"/>
        <v>360</v>
      </c>
      <c r="AO5" s="1">
        <f t="shared" si="18"/>
        <v>1.1444444444444444</v>
      </c>
    </row>
    <row r="6" spans="1:41" x14ac:dyDescent="0.25">
      <c r="A6" t="s">
        <v>7</v>
      </c>
      <c r="B6">
        <v>6</v>
      </c>
      <c r="C6">
        <v>189</v>
      </c>
      <c r="D6">
        <v>58</v>
      </c>
      <c r="E6">
        <v>2</v>
      </c>
      <c r="F6">
        <v>32</v>
      </c>
      <c r="G6">
        <v>7</v>
      </c>
      <c r="H6">
        <v>0</v>
      </c>
      <c r="I6">
        <v>0</v>
      </c>
      <c r="J6">
        <v>0</v>
      </c>
      <c r="K6">
        <v>412</v>
      </c>
      <c r="L6">
        <v>1</v>
      </c>
      <c r="M6">
        <v>0</v>
      </c>
      <c r="N6" t="s">
        <v>4</v>
      </c>
      <c r="O6">
        <v>42</v>
      </c>
      <c r="P6">
        <v>42</v>
      </c>
      <c r="Q6">
        <v>82</v>
      </c>
      <c r="R6">
        <v>82</v>
      </c>
      <c r="S6">
        <v>82</v>
      </c>
      <c r="T6">
        <v>82</v>
      </c>
      <c r="U6">
        <v>409.3</v>
      </c>
      <c r="V6">
        <v>2</v>
      </c>
      <c r="W6">
        <f t="shared" si="0"/>
        <v>-145.80000000000001</v>
      </c>
      <c r="X6">
        <f t="shared" si="1"/>
        <v>1</v>
      </c>
      <c r="Y6">
        <f t="shared" si="2"/>
        <v>1</v>
      </c>
      <c r="Z6">
        <f t="shared" si="3"/>
        <v>0</v>
      </c>
      <c r="AA6">
        <f t="shared" si="4"/>
        <v>0</v>
      </c>
      <c r="AB6">
        <f t="shared" si="5"/>
        <v>0</v>
      </c>
      <c r="AC6">
        <f t="shared" si="6"/>
        <v>0</v>
      </c>
      <c r="AD6">
        <f t="shared" si="7"/>
        <v>94.5</v>
      </c>
      <c r="AE6">
        <f t="shared" si="8"/>
        <v>174</v>
      </c>
      <c r="AF6">
        <f t="shared" si="9"/>
        <v>16</v>
      </c>
      <c r="AG6">
        <f t="shared" si="10"/>
        <v>-16</v>
      </c>
      <c r="AH6">
        <f t="shared" si="11"/>
        <v>-7</v>
      </c>
      <c r="AI6">
        <f t="shared" si="12"/>
        <v>0</v>
      </c>
      <c r="AJ6">
        <f t="shared" si="13"/>
        <v>0</v>
      </c>
      <c r="AK6">
        <f t="shared" si="14"/>
        <v>0</v>
      </c>
      <c r="AL6">
        <f t="shared" si="15"/>
        <v>2</v>
      </c>
      <c r="AM6">
        <f t="shared" si="16"/>
        <v>263.5</v>
      </c>
      <c r="AN6">
        <f t="shared" si="17"/>
        <v>288</v>
      </c>
      <c r="AO6" s="1">
        <f t="shared" si="18"/>
        <v>0.91493055555555558</v>
      </c>
    </row>
    <row r="7" spans="1:41" x14ac:dyDescent="0.25">
      <c r="A7" t="s">
        <v>2</v>
      </c>
      <c r="B7">
        <v>6</v>
      </c>
      <c r="C7">
        <v>282</v>
      </c>
      <c r="D7">
        <v>100</v>
      </c>
      <c r="E7">
        <v>7</v>
      </c>
      <c r="F7">
        <v>42</v>
      </c>
      <c r="G7">
        <v>1</v>
      </c>
      <c r="H7">
        <v>0</v>
      </c>
      <c r="I7">
        <v>0</v>
      </c>
      <c r="J7">
        <v>0</v>
      </c>
      <c r="K7">
        <v>106</v>
      </c>
      <c r="L7">
        <v>1</v>
      </c>
      <c r="M7">
        <v>1</v>
      </c>
      <c r="N7" t="s">
        <v>1</v>
      </c>
      <c r="O7">
        <v>2</v>
      </c>
      <c r="P7">
        <v>13</v>
      </c>
      <c r="Q7">
        <v>13</v>
      </c>
      <c r="R7">
        <v>18</v>
      </c>
      <c r="S7">
        <v>30</v>
      </c>
      <c r="T7">
        <v>30</v>
      </c>
      <c r="U7">
        <v>409.3</v>
      </c>
      <c r="V7">
        <v>6</v>
      </c>
      <c r="W7">
        <f t="shared" si="0"/>
        <v>113.69999999999999</v>
      </c>
      <c r="X7">
        <f t="shared" si="1"/>
        <v>25</v>
      </c>
      <c r="Y7">
        <f t="shared" si="2"/>
        <v>6</v>
      </c>
      <c r="Z7">
        <f t="shared" si="3"/>
        <v>6</v>
      </c>
      <c r="AA7">
        <f t="shared" si="4"/>
        <v>5</v>
      </c>
      <c r="AB7">
        <f t="shared" si="5"/>
        <v>3</v>
      </c>
      <c r="AC7">
        <f t="shared" si="6"/>
        <v>3</v>
      </c>
      <c r="AD7">
        <f t="shared" si="7"/>
        <v>141</v>
      </c>
      <c r="AE7">
        <f t="shared" si="8"/>
        <v>300</v>
      </c>
      <c r="AF7">
        <f t="shared" si="9"/>
        <v>56</v>
      </c>
      <c r="AG7">
        <f t="shared" si="10"/>
        <v>-21</v>
      </c>
      <c r="AH7">
        <f t="shared" si="11"/>
        <v>-1</v>
      </c>
      <c r="AI7">
        <f t="shared" si="12"/>
        <v>0</v>
      </c>
      <c r="AJ7">
        <f t="shared" si="13"/>
        <v>0</v>
      </c>
      <c r="AK7">
        <f t="shared" si="14"/>
        <v>0</v>
      </c>
      <c r="AL7">
        <f t="shared" si="15"/>
        <v>48</v>
      </c>
      <c r="AM7">
        <f t="shared" si="16"/>
        <v>523</v>
      </c>
      <c r="AN7">
        <f t="shared" si="17"/>
        <v>432</v>
      </c>
      <c r="AO7" s="1">
        <f t="shared" si="18"/>
        <v>1.2106481481481481</v>
      </c>
    </row>
    <row r="8" spans="1:41" x14ac:dyDescent="0.25">
      <c r="A8" t="s">
        <v>4</v>
      </c>
      <c r="B8">
        <v>6</v>
      </c>
      <c r="C8">
        <v>238</v>
      </c>
      <c r="D8">
        <v>81</v>
      </c>
      <c r="E8">
        <v>3</v>
      </c>
      <c r="F8">
        <v>37</v>
      </c>
      <c r="G8">
        <v>1</v>
      </c>
      <c r="H8">
        <v>0</v>
      </c>
      <c r="I8">
        <v>0</v>
      </c>
      <c r="J8">
        <v>0</v>
      </c>
      <c r="K8">
        <v>259</v>
      </c>
      <c r="L8">
        <v>1</v>
      </c>
      <c r="M8">
        <v>1</v>
      </c>
      <c r="N8" t="s">
        <v>7</v>
      </c>
      <c r="O8">
        <v>2</v>
      </c>
      <c r="P8">
        <v>6</v>
      </c>
      <c r="Q8">
        <v>30</v>
      </c>
      <c r="R8">
        <v>57</v>
      </c>
      <c r="S8">
        <v>82</v>
      </c>
      <c r="T8">
        <v>82</v>
      </c>
      <c r="U8">
        <v>409.3</v>
      </c>
      <c r="V8">
        <v>4</v>
      </c>
      <c r="W8">
        <f t="shared" si="0"/>
        <v>-2.8000000000000114</v>
      </c>
      <c r="X8">
        <f t="shared" si="1"/>
        <v>25</v>
      </c>
      <c r="Y8">
        <f t="shared" si="2"/>
        <v>12</v>
      </c>
      <c r="Z8">
        <f t="shared" si="3"/>
        <v>3</v>
      </c>
      <c r="AA8">
        <f t="shared" si="4"/>
        <v>0</v>
      </c>
      <c r="AB8">
        <f t="shared" si="5"/>
        <v>0</v>
      </c>
      <c r="AC8">
        <f t="shared" si="6"/>
        <v>0</v>
      </c>
      <c r="AD8">
        <f t="shared" si="7"/>
        <v>119</v>
      </c>
      <c r="AE8">
        <f t="shared" si="8"/>
        <v>243</v>
      </c>
      <c r="AF8">
        <f t="shared" si="9"/>
        <v>24</v>
      </c>
      <c r="AG8">
        <f t="shared" si="10"/>
        <v>-18.5</v>
      </c>
      <c r="AH8">
        <f t="shared" si="11"/>
        <v>-1</v>
      </c>
      <c r="AI8">
        <f t="shared" si="12"/>
        <v>0</v>
      </c>
      <c r="AJ8">
        <f t="shared" si="13"/>
        <v>0</v>
      </c>
      <c r="AK8">
        <f t="shared" si="14"/>
        <v>0</v>
      </c>
      <c r="AL8">
        <f t="shared" si="15"/>
        <v>40</v>
      </c>
      <c r="AM8">
        <f t="shared" si="16"/>
        <v>406.5</v>
      </c>
      <c r="AN8">
        <f t="shared" si="17"/>
        <v>360</v>
      </c>
      <c r="AO8" s="1">
        <f t="shared" si="18"/>
        <v>1.1291666666666667</v>
      </c>
    </row>
    <row r="9" spans="1:41" x14ac:dyDescent="0.25">
      <c r="A9" t="s">
        <v>1</v>
      </c>
      <c r="B9">
        <v>6</v>
      </c>
      <c r="C9">
        <v>278</v>
      </c>
      <c r="D9">
        <v>98</v>
      </c>
      <c r="E9">
        <v>3</v>
      </c>
      <c r="F9">
        <v>49</v>
      </c>
      <c r="G9">
        <v>4</v>
      </c>
      <c r="H9">
        <v>0</v>
      </c>
      <c r="I9">
        <v>0</v>
      </c>
      <c r="J9">
        <v>0</v>
      </c>
      <c r="K9">
        <v>257</v>
      </c>
      <c r="L9">
        <v>1</v>
      </c>
      <c r="M9">
        <v>0</v>
      </c>
      <c r="N9" t="s">
        <v>2</v>
      </c>
      <c r="O9">
        <v>24</v>
      </c>
      <c r="P9">
        <v>30</v>
      </c>
      <c r="Q9">
        <v>42</v>
      </c>
      <c r="R9">
        <v>52</v>
      </c>
      <c r="S9">
        <v>52</v>
      </c>
      <c r="T9">
        <v>57</v>
      </c>
      <c r="U9">
        <v>409.3</v>
      </c>
      <c r="V9">
        <v>6</v>
      </c>
      <c r="W9">
        <f t="shared" si="0"/>
        <v>27.199999999999989</v>
      </c>
      <c r="X9">
        <f t="shared" si="1"/>
        <v>4</v>
      </c>
      <c r="Y9">
        <f t="shared" si="2"/>
        <v>3</v>
      </c>
      <c r="Z9">
        <f t="shared" si="3"/>
        <v>1</v>
      </c>
      <c r="AA9">
        <f t="shared" si="4"/>
        <v>0</v>
      </c>
      <c r="AB9">
        <f t="shared" si="5"/>
        <v>0</v>
      </c>
      <c r="AC9">
        <f t="shared" si="6"/>
        <v>0</v>
      </c>
      <c r="AD9">
        <f t="shared" si="7"/>
        <v>139</v>
      </c>
      <c r="AE9">
        <f t="shared" si="8"/>
        <v>294</v>
      </c>
      <c r="AF9">
        <f t="shared" si="9"/>
        <v>24</v>
      </c>
      <c r="AG9">
        <f t="shared" si="10"/>
        <v>-24.5</v>
      </c>
      <c r="AH9">
        <f t="shared" si="11"/>
        <v>-4</v>
      </c>
      <c r="AI9">
        <f t="shared" si="12"/>
        <v>0</v>
      </c>
      <c r="AJ9">
        <f t="shared" si="13"/>
        <v>0</v>
      </c>
      <c r="AK9">
        <f t="shared" si="14"/>
        <v>0</v>
      </c>
      <c r="AL9">
        <f t="shared" si="15"/>
        <v>8</v>
      </c>
      <c r="AM9">
        <f t="shared" si="16"/>
        <v>436.5</v>
      </c>
      <c r="AN9">
        <f t="shared" si="17"/>
        <v>432</v>
      </c>
      <c r="AO9" s="1">
        <f t="shared" si="18"/>
        <v>1.0104166666666667</v>
      </c>
    </row>
    <row r="10" spans="1:41" x14ac:dyDescent="0.25">
      <c r="A10" t="s">
        <v>3</v>
      </c>
      <c r="B10">
        <v>6</v>
      </c>
      <c r="C10">
        <v>229</v>
      </c>
      <c r="D10">
        <v>131</v>
      </c>
      <c r="E10">
        <v>5</v>
      </c>
      <c r="F10">
        <v>23</v>
      </c>
      <c r="G10">
        <v>7</v>
      </c>
      <c r="H10">
        <v>0</v>
      </c>
      <c r="I10">
        <v>0</v>
      </c>
      <c r="J10">
        <v>1</v>
      </c>
      <c r="K10">
        <v>240</v>
      </c>
      <c r="L10">
        <v>2</v>
      </c>
      <c r="M10">
        <v>1</v>
      </c>
      <c r="N10" t="s">
        <v>1</v>
      </c>
      <c r="O10">
        <v>3</v>
      </c>
      <c r="P10">
        <v>6</v>
      </c>
      <c r="Q10">
        <v>34</v>
      </c>
      <c r="R10">
        <v>61</v>
      </c>
      <c r="S10">
        <v>68</v>
      </c>
      <c r="T10">
        <v>68</v>
      </c>
      <c r="U10">
        <v>522.5</v>
      </c>
      <c r="V10">
        <v>4</v>
      </c>
      <c r="W10">
        <f t="shared" si="0"/>
        <v>37.5</v>
      </c>
      <c r="X10">
        <f t="shared" si="1"/>
        <v>18</v>
      </c>
      <c r="Y10">
        <f t="shared" si="2"/>
        <v>12</v>
      </c>
      <c r="Z10">
        <f t="shared" si="3"/>
        <v>2</v>
      </c>
      <c r="AA10">
        <f t="shared" si="4"/>
        <v>0</v>
      </c>
      <c r="AB10">
        <f t="shared" si="5"/>
        <v>0</v>
      </c>
      <c r="AC10">
        <f t="shared" si="6"/>
        <v>0</v>
      </c>
      <c r="AD10">
        <f t="shared" si="7"/>
        <v>114.5</v>
      </c>
      <c r="AE10">
        <f t="shared" si="8"/>
        <v>393</v>
      </c>
      <c r="AF10">
        <f t="shared" si="9"/>
        <v>40</v>
      </c>
      <c r="AG10">
        <f t="shared" si="10"/>
        <v>-11.5</v>
      </c>
      <c r="AH10">
        <f t="shared" si="11"/>
        <v>-7</v>
      </c>
      <c r="AI10">
        <f t="shared" si="12"/>
        <v>0</v>
      </c>
      <c r="AJ10">
        <f t="shared" si="13"/>
        <v>0</v>
      </c>
      <c r="AK10">
        <f t="shared" si="14"/>
        <v>-1</v>
      </c>
      <c r="AL10">
        <f t="shared" si="15"/>
        <v>32</v>
      </c>
      <c r="AM10">
        <f t="shared" si="16"/>
        <v>560</v>
      </c>
      <c r="AN10">
        <f t="shared" si="17"/>
        <v>396</v>
      </c>
      <c r="AO10" s="1">
        <f t="shared" si="18"/>
        <v>1.4141414141414141</v>
      </c>
    </row>
    <row r="11" spans="1:41" x14ac:dyDescent="0.25">
      <c r="A11" t="s">
        <v>6</v>
      </c>
      <c r="B11">
        <v>6</v>
      </c>
      <c r="C11">
        <v>206</v>
      </c>
      <c r="D11">
        <v>120</v>
      </c>
      <c r="E11">
        <v>3</v>
      </c>
      <c r="F11">
        <v>25</v>
      </c>
      <c r="G11">
        <v>4</v>
      </c>
      <c r="H11">
        <v>0</v>
      </c>
      <c r="I11">
        <v>0</v>
      </c>
      <c r="J11">
        <v>2</v>
      </c>
      <c r="K11">
        <v>300</v>
      </c>
      <c r="L11">
        <v>2</v>
      </c>
      <c r="M11">
        <v>0</v>
      </c>
      <c r="N11" t="s">
        <v>0</v>
      </c>
      <c r="O11">
        <v>3</v>
      </c>
      <c r="P11">
        <v>25</v>
      </c>
      <c r="Q11">
        <v>68</v>
      </c>
      <c r="R11">
        <v>68</v>
      </c>
      <c r="S11">
        <v>68</v>
      </c>
      <c r="T11">
        <v>68</v>
      </c>
      <c r="U11">
        <v>522.5</v>
      </c>
      <c r="V11">
        <v>2</v>
      </c>
      <c r="W11">
        <f t="shared" si="0"/>
        <v>-32</v>
      </c>
      <c r="X11">
        <f t="shared" si="1"/>
        <v>18</v>
      </c>
      <c r="Y11">
        <f t="shared" si="2"/>
        <v>4</v>
      </c>
      <c r="Z11">
        <f t="shared" si="3"/>
        <v>0</v>
      </c>
      <c r="AA11">
        <f t="shared" si="4"/>
        <v>0</v>
      </c>
      <c r="AB11">
        <f t="shared" si="5"/>
        <v>0</v>
      </c>
      <c r="AC11">
        <f t="shared" si="6"/>
        <v>0</v>
      </c>
      <c r="AD11">
        <f t="shared" si="7"/>
        <v>103</v>
      </c>
      <c r="AE11">
        <f t="shared" si="8"/>
        <v>360</v>
      </c>
      <c r="AF11">
        <f t="shared" si="9"/>
        <v>24</v>
      </c>
      <c r="AG11">
        <f t="shared" si="10"/>
        <v>-12.5</v>
      </c>
      <c r="AH11">
        <f t="shared" si="11"/>
        <v>-4</v>
      </c>
      <c r="AI11">
        <f t="shared" si="12"/>
        <v>0</v>
      </c>
      <c r="AJ11">
        <f t="shared" si="13"/>
        <v>0</v>
      </c>
      <c r="AK11">
        <f t="shared" si="14"/>
        <v>-2</v>
      </c>
      <c r="AL11">
        <f t="shared" si="15"/>
        <v>22</v>
      </c>
      <c r="AM11">
        <f t="shared" si="16"/>
        <v>490.5</v>
      </c>
      <c r="AN11">
        <f t="shared" si="17"/>
        <v>360</v>
      </c>
      <c r="AO11" s="1">
        <f t="shared" si="18"/>
        <v>1.3625</v>
      </c>
    </row>
    <row r="12" spans="1:41" x14ac:dyDescent="0.25">
      <c r="A12" t="s">
        <v>5</v>
      </c>
      <c r="B12">
        <v>6</v>
      </c>
      <c r="C12">
        <v>234</v>
      </c>
      <c r="D12">
        <v>122</v>
      </c>
      <c r="E12">
        <v>4</v>
      </c>
      <c r="F12">
        <v>26</v>
      </c>
      <c r="G12">
        <v>8</v>
      </c>
      <c r="H12">
        <v>0</v>
      </c>
      <c r="I12">
        <v>0</v>
      </c>
      <c r="J12">
        <v>2</v>
      </c>
      <c r="K12">
        <v>294</v>
      </c>
      <c r="L12">
        <v>2</v>
      </c>
      <c r="M12">
        <v>0</v>
      </c>
      <c r="N12" t="s">
        <v>4</v>
      </c>
      <c r="O12">
        <v>25</v>
      </c>
      <c r="P12">
        <v>39</v>
      </c>
      <c r="Q12">
        <v>47</v>
      </c>
      <c r="R12">
        <v>47</v>
      </c>
      <c r="S12">
        <v>68</v>
      </c>
      <c r="T12">
        <v>68</v>
      </c>
      <c r="U12">
        <v>522.5</v>
      </c>
      <c r="V12">
        <v>4</v>
      </c>
      <c r="W12">
        <f t="shared" si="0"/>
        <v>-22.5</v>
      </c>
      <c r="X12">
        <f t="shared" si="1"/>
        <v>4</v>
      </c>
      <c r="Y12">
        <f t="shared" si="2"/>
        <v>2</v>
      </c>
      <c r="Z12">
        <f t="shared" si="3"/>
        <v>1</v>
      </c>
      <c r="AA12">
        <f t="shared" si="4"/>
        <v>1</v>
      </c>
      <c r="AB12">
        <f t="shared" si="5"/>
        <v>0</v>
      </c>
      <c r="AC12">
        <f t="shared" si="6"/>
        <v>0</v>
      </c>
      <c r="AD12">
        <f t="shared" si="7"/>
        <v>117</v>
      </c>
      <c r="AE12">
        <f t="shared" si="8"/>
        <v>366</v>
      </c>
      <c r="AF12">
        <f t="shared" si="9"/>
        <v>32</v>
      </c>
      <c r="AG12">
        <f t="shared" si="10"/>
        <v>-13</v>
      </c>
      <c r="AH12">
        <f t="shared" si="11"/>
        <v>-8</v>
      </c>
      <c r="AI12">
        <f t="shared" si="12"/>
        <v>0</v>
      </c>
      <c r="AJ12">
        <f t="shared" si="13"/>
        <v>0</v>
      </c>
      <c r="AK12">
        <f t="shared" si="14"/>
        <v>-2</v>
      </c>
      <c r="AL12">
        <f t="shared" si="15"/>
        <v>8</v>
      </c>
      <c r="AM12">
        <f t="shared" si="16"/>
        <v>500</v>
      </c>
      <c r="AN12">
        <f t="shared" si="17"/>
        <v>396</v>
      </c>
      <c r="AO12" s="1">
        <f t="shared" si="18"/>
        <v>1.2626262626262625</v>
      </c>
    </row>
    <row r="13" spans="1:41" x14ac:dyDescent="0.25">
      <c r="A13" t="s">
        <v>0</v>
      </c>
      <c r="B13">
        <v>6</v>
      </c>
      <c r="C13">
        <v>242</v>
      </c>
      <c r="D13">
        <v>128</v>
      </c>
      <c r="E13">
        <v>6</v>
      </c>
      <c r="F13">
        <v>17</v>
      </c>
      <c r="G13">
        <v>3</v>
      </c>
      <c r="H13">
        <v>0</v>
      </c>
      <c r="I13">
        <v>0</v>
      </c>
      <c r="J13">
        <v>0</v>
      </c>
      <c r="K13">
        <v>175</v>
      </c>
      <c r="L13">
        <v>2</v>
      </c>
      <c r="M13">
        <v>1</v>
      </c>
      <c r="N13" t="s">
        <v>6</v>
      </c>
      <c r="O13">
        <v>2</v>
      </c>
      <c r="P13">
        <v>9</v>
      </c>
      <c r="Q13">
        <v>11</v>
      </c>
      <c r="R13">
        <v>17</v>
      </c>
      <c r="S13">
        <v>68</v>
      </c>
      <c r="T13">
        <v>68</v>
      </c>
      <c r="U13">
        <v>522.5</v>
      </c>
      <c r="V13">
        <v>4</v>
      </c>
      <c r="W13">
        <f t="shared" si="0"/>
        <v>61</v>
      </c>
      <c r="X13">
        <f t="shared" si="1"/>
        <v>25</v>
      </c>
      <c r="Y13">
        <f t="shared" si="2"/>
        <v>6</v>
      </c>
      <c r="Z13">
        <f t="shared" si="3"/>
        <v>6</v>
      </c>
      <c r="AA13">
        <f t="shared" si="4"/>
        <v>5</v>
      </c>
      <c r="AB13">
        <f t="shared" si="5"/>
        <v>0</v>
      </c>
      <c r="AC13">
        <f t="shared" si="6"/>
        <v>0</v>
      </c>
      <c r="AD13">
        <f t="shared" si="7"/>
        <v>121</v>
      </c>
      <c r="AE13">
        <f t="shared" si="8"/>
        <v>384</v>
      </c>
      <c r="AF13">
        <f t="shared" si="9"/>
        <v>48</v>
      </c>
      <c r="AG13">
        <f t="shared" si="10"/>
        <v>-8.5</v>
      </c>
      <c r="AH13">
        <f t="shared" si="11"/>
        <v>-3</v>
      </c>
      <c r="AI13">
        <f t="shared" si="12"/>
        <v>0</v>
      </c>
      <c r="AJ13">
        <f t="shared" si="13"/>
        <v>0</v>
      </c>
      <c r="AK13">
        <f t="shared" si="14"/>
        <v>0</v>
      </c>
      <c r="AL13">
        <f t="shared" si="15"/>
        <v>42</v>
      </c>
      <c r="AM13">
        <f t="shared" si="16"/>
        <v>583.5</v>
      </c>
      <c r="AN13">
        <f t="shared" si="17"/>
        <v>396</v>
      </c>
      <c r="AO13" s="1">
        <f t="shared" si="18"/>
        <v>1.4734848484848484</v>
      </c>
    </row>
    <row r="14" spans="1:41" x14ac:dyDescent="0.25">
      <c r="A14" t="s">
        <v>7</v>
      </c>
      <c r="B14">
        <v>6</v>
      </c>
      <c r="C14">
        <v>233</v>
      </c>
      <c r="D14">
        <v>103</v>
      </c>
      <c r="E14">
        <v>3</v>
      </c>
      <c r="F14">
        <v>30</v>
      </c>
      <c r="G14">
        <v>6</v>
      </c>
      <c r="H14">
        <v>0</v>
      </c>
      <c r="I14">
        <v>0</v>
      </c>
      <c r="J14">
        <v>3</v>
      </c>
      <c r="K14">
        <v>325</v>
      </c>
      <c r="L14">
        <v>2</v>
      </c>
      <c r="M14">
        <v>0</v>
      </c>
      <c r="N14" t="s">
        <v>2</v>
      </c>
      <c r="O14">
        <v>25</v>
      </c>
      <c r="P14">
        <v>34</v>
      </c>
      <c r="Q14">
        <v>62</v>
      </c>
      <c r="R14">
        <v>68</v>
      </c>
      <c r="S14">
        <v>68</v>
      </c>
      <c r="T14">
        <v>68</v>
      </c>
      <c r="U14">
        <v>522.5</v>
      </c>
      <c r="V14">
        <v>3</v>
      </c>
      <c r="W14">
        <f t="shared" si="0"/>
        <v>-91</v>
      </c>
      <c r="X14">
        <f t="shared" si="1"/>
        <v>4</v>
      </c>
      <c r="Y14">
        <f t="shared" si="2"/>
        <v>2</v>
      </c>
      <c r="Z14">
        <f t="shared" si="3"/>
        <v>0</v>
      </c>
      <c r="AA14">
        <f t="shared" si="4"/>
        <v>0</v>
      </c>
      <c r="AB14">
        <f t="shared" si="5"/>
        <v>0</v>
      </c>
      <c r="AC14">
        <f t="shared" si="6"/>
        <v>0</v>
      </c>
      <c r="AD14">
        <f t="shared" si="7"/>
        <v>116.5</v>
      </c>
      <c r="AE14">
        <f t="shared" si="8"/>
        <v>309</v>
      </c>
      <c r="AF14">
        <f t="shared" si="9"/>
        <v>24</v>
      </c>
      <c r="AG14">
        <f t="shared" si="10"/>
        <v>-15</v>
      </c>
      <c r="AH14">
        <f t="shared" si="11"/>
        <v>-6</v>
      </c>
      <c r="AI14">
        <f t="shared" si="12"/>
        <v>0</v>
      </c>
      <c r="AJ14">
        <f t="shared" si="13"/>
        <v>0</v>
      </c>
      <c r="AK14">
        <f t="shared" si="14"/>
        <v>-3</v>
      </c>
      <c r="AL14">
        <f t="shared" si="15"/>
        <v>6</v>
      </c>
      <c r="AM14">
        <f t="shared" si="16"/>
        <v>431.5</v>
      </c>
      <c r="AN14">
        <f t="shared" si="17"/>
        <v>378</v>
      </c>
      <c r="AO14" s="1">
        <f t="shared" si="18"/>
        <v>1.1415343915343916</v>
      </c>
    </row>
    <row r="15" spans="1:41" x14ac:dyDescent="0.25">
      <c r="A15" t="s">
        <v>2</v>
      </c>
      <c r="B15">
        <v>6</v>
      </c>
      <c r="C15">
        <v>236</v>
      </c>
      <c r="D15">
        <v>136</v>
      </c>
      <c r="E15">
        <v>4</v>
      </c>
      <c r="F15">
        <v>30</v>
      </c>
      <c r="G15">
        <v>8</v>
      </c>
      <c r="H15">
        <v>0</v>
      </c>
      <c r="I15">
        <v>0</v>
      </c>
      <c r="J15">
        <v>0</v>
      </c>
      <c r="K15">
        <v>214</v>
      </c>
      <c r="L15">
        <v>2</v>
      </c>
      <c r="M15">
        <v>1</v>
      </c>
      <c r="N15" t="s">
        <v>7</v>
      </c>
      <c r="O15">
        <v>9</v>
      </c>
      <c r="P15">
        <v>21</v>
      </c>
      <c r="Q15">
        <v>25</v>
      </c>
      <c r="R15">
        <v>39</v>
      </c>
      <c r="S15">
        <v>52</v>
      </c>
      <c r="T15">
        <v>68</v>
      </c>
      <c r="U15">
        <v>522.5</v>
      </c>
      <c r="V15">
        <v>5</v>
      </c>
      <c r="W15">
        <f t="shared" si="0"/>
        <v>28.5</v>
      </c>
      <c r="X15">
        <f t="shared" si="1"/>
        <v>6</v>
      </c>
      <c r="Y15">
        <f t="shared" si="2"/>
        <v>4</v>
      </c>
      <c r="Z15">
        <f t="shared" si="3"/>
        <v>4</v>
      </c>
      <c r="AA15">
        <f t="shared" si="4"/>
        <v>2</v>
      </c>
      <c r="AB15">
        <f t="shared" si="5"/>
        <v>0</v>
      </c>
      <c r="AC15">
        <f t="shared" si="6"/>
        <v>0</v>
      </c>
      <c r="AD15">
        <f t="shared" si="7"/>
        <v>118</v>
      </c>
      <c r="AE15">
        <f t="shared" si="8"/>
        <v>408</v>
      </c>
      <c r="AF15">
        <f t="shared" si="9"/>
        <v>32</v>
      </c>
      <c r="AG15">
        <f t="shared" si="10"/>
        <v>-15</v>
      </c>
      <c r="AH15">
        <f t="shared" si="11"/>
        <v>-8</v>
      </c>
      <c r="AI15">
        <f t="shared" si="12"/>
        <v>0</v>
      </c>
      <c r="AJ15">
        <f t="shared" si="13"/>
        <v>0</v>
      </c>
      <c r="AK15">
        <f t="shared" si="14"/>
        <v>0</v>
      </c>
      <c r="AL15">
        <f t="shared" si="15"/>
        <v>16</v>
      </c>
      <c r="AM15">
        <f t="shared" si="16"/>
        <v>551</v>
      </c>
      <c r="AN15">
        <f t="shared" si="17"/>
        <v>414</v>
      </c>
      <c r="AO15" s="1">
        <f t="shared" si="18"/>
        <v>1.3309178743961352</v>
      </c>
    </row>
    <row r="16" spans="1:41" x14ac:dyDescent="0.25">
      <c r="A16" t="s">
        <v>4</v>
      </c>
      <c r="B16">
        <v>6</v>
      </c>
      <c r="C16">
        <v>230</v>
      </c>
      <c r="D16">
        <v>131</v>
      </c>
      <c r="E16">
        <v>4</v>
      </c>
      <c r="F16">
        <v>26</v>
      </c>
      <c r="G16">
        <v>5</v>
      </c>
      <c r="H16">
        <v>0</v>
      </c>
      <c r="I16">
        <v>0</v>
      </c>
      <c r="J16">
        <v>0</v>
      </c>
      <c r="K16">
        <v>221</v>
      </c>
      <c r="L16">
        <v>2</v>
      </c>
      <c r="M16">
        <v>1</v>
      </c>
      <c r="N16" t="s">
        <v>5</v>
      </c>
      <c r="O16">
        <v>6</v>
      </c>
      <c r="P16">
        <v>11</v>
      </c>
      <c r="Q16">
        <v>21</v>
      </c>
      <c r="R16">
        <v>47</v>
      </c>
      <c r="S16">
        <v>68</v>
      </c>
      <c r="T16">
        <v>68</v>
      </c>
      <c r="U16">
        <v>522.5</v>
      </c>
      <c r="V16">
        <v>4</v>
      </c>
      <c r="W16">
        <f t="shared" si="0"/>
        <v>22.5</v>
      </c>
      <c r="X16">
        <f t="shared" si="1"/>
        <v>12</v>
      </c>
      <c r="Y16">
        <f t="shared" si="2"/>
        <v>6</v>
      </c>
      <c r="Z16">
        <f t="shared" si="3"/>
        <v>4</v>
      </c>
      <c r="AA16">
        <f t="shared" si="4"/>
        <v>1</v>
      </c>
      <c r="AB16">
        <f t="shared" si="5"/>
        <v>0</v>
      </c>
      <c r="AC16">
        <f t="shared" si="6"/>
        <v>0</v>
      </c>
      <c r="AD16">
        <f t="shared" si="7"/>
        <v>115</v>
      </c>
      <c r="AE16">
        <f t="shared" si="8"/>
        <v>393</v>
      </c>
      <c r="AF16">
        <f t="shared" si="9"/>
        <v>32</v>
      </c>
      <c r="AG16">
        <f t="shared" si="10"/>
        <v>-13</v>
      </c>
      <c r="AH16">
        <f t="shared" si="11"/>
        <v>-5</v>
      </c>
      <c r="AI16">
        <f t="shared" si="12"/>
        <v>0</v>
      </c>
      <c r="AJ16">
        <f t="shared" si="13"/>
        <v>0</v>
      </c>
      <c r="AK16">
        <f t="shared" si="14"/>
        <v>0</v>
      </c>
      <c r="AL16">
        <f t="shared" si="15"/>
        <v>23</v>
      </c>
      <c r="AM16">
        <f t="shared" si="16"/>
        <v>545</v>
      </c>
      <c r="AN16">
        <f t="shared" si="17"/>
        <v>396</v>
      </c>
      <c r="AO16" s="1">
        <f t="shared" si="18"/>
        <v>1.3762626262626263</v>
      </c>
    </row>
    <row r="17" spans="1:41" x14ac:dyDescent="0.25">
      <c r="A17" t="s">
        <v>1</v>
      </c>
      <c r="B17">
        <v>6</v>
      </c>
      <c r="C17">
        <v>236</v>
      </c>
      <c r="D17">
        <v>113</v>
      </c>
      <c r="E17">
        <v>2</v>
      </c>
      <c r="F17">
        <v>19</v>
      </c>
      <c r="G17">
        <v>7</v>
      </c>
      <c r="H17">
        <v>0</v>
      </c>
      <c r="I17">
        <v>0</v>
      </c>
      <c r="J17">
        <v>1</v>
      </c>
      <c r="K17">
        <v>302</v>
      </c>
      <c r="L17">
        <v>2</v>
      </c>
      <c r="M17">
        <v>0</v>
      </c>
      <c r="N17" t="s">
        <v>3</v>
      </c>
      <c r="O17">
        <v>21</v>
      </c>
      <c r="P17">
        <v>25</v>
      </c>
      <c r="Q17">
        <v>52</v>
      </c>
      <c r="R17">
        <v>68</v>
      </c>
      <c r="S17">
        <v>68</v>
      </c>
      <c r="T17">
        <v>68</v>
      </c>
      <c r="U17">
        <v>522.5</v>
      </c>
      <c r="V17">
        <v>3</v>
      </c>
      <c r="W17">
        <f t="shared" si="0"/>
        <v>-59</v>
      </c>
      <c r="X17">
        <f t="shared" si="1"/>
        <v>4</v>
      </c>
      <c r="Y17">
        <f t="shared" si="2"/>
        <v>4</v>
      </c>
      <c r="Z17">
        <f t="shared" si="3"/>
        <v>0</v>
      </c>
      <c r="AA17">
        <f t="shared" si="4"/>
        <v>0</v>
      </c>
      <c r="AB17">
        <f t="shared" si="5"/>
        <v>0</v>
      </c>
      <c r="AC17">
        <f t="shared" si="6"/>
        <v>0</v>
      </c>
      <c r="AD17">
        <f t="shared" si="7"/>
        <v>118</v>
      </c>
      <c r="AE17">
        <f t="shared" si="8"/>
        <v>339</v>
      </c>
      <c r="AF17">
        <f t="shared" si="9"/>
        <v>16</v>
      </c>
      <c r="AG17">
        <f t="shared" si="10"/>
        <v>-9.5</v>
      </c>
      <c r="AH17">
        <f t="shared" si="11"/>
        <v>-7</v>
      </c>
      <c r="AI17">
        <f t="shared" si="12"/>
        <v>0</v>
      </c>
      <c r="AJ17">
        <f t="shared" si="13"/>
        <v>0</v>
      </c>
      <c r="AK17">
        <f t="shared" si="14"/>
        <v>-1</v>
      </c>
      <c r="AL17">
        <f t="shared" si="15"/>
        <v>8</v>
      </c>
      <c r="AM17">
        <f t="shared" si="16"/>
        <v>463.5</v>
      </c>
      <c r="AN17">
        <f t="shared" si="17"/>
        <v>378</v>
      </c>
      <c r="AO17" s="1">
        <f t="shared" si="18"/>
        <v>1.2261904761904763</v>
      </c>
    </row>
    <row r="18" spans="1:41" x14ac:dyDescent="0.25">
      <c r="A18" t="s">
        <v>3</v>
      </c>
      <c r="B18">
        <v>6</v>
      </c>
      <c r="C18">
        <v>250</v>
      </c>
      <c r="D18">
        <v>87</v>
      </c>
      <c r="E18">
        <v>2</v>
      </c>
      <c r="F18">
        <v>53</v>
      </c>
      <c r="G18">
        <v>4</v>
      </c>
      <c r="H18">
        <v>0</v>
      </c>
      <c r="I18">
        <v>0</v>
      </c>
      <c r="J18">
        <v>0</v>
      </c>
      <c r="K18">
        <v>207</v>
      </c>
      <c r="L18">
        <v>3</v>
      </c>
      <c r="M18">
        <v>1</v>
      </c>
      <c r="N18" t="s">
        <v>7</v>
      </c>
      <c r="O18">
        <v>9</v>
      </c>
      <c r="P18">
        <v>9</v>
      </c>
      <c r="Q18">
        <v>13</v>
      </c>
      <c r="R18">
        <v>33</v>
      </c>
      <c r="S18">
        <v>64</v>
      </c>
      <c r="T18">
        <v>79</v>
      </c>
      <c r="U18">
        <v>343.8</v>
      </c>
      <c r="V18">
        <v>5</v>
      </c>
      <c r="W18">
        <f t="shared" si="0"/>
        <v>47.699999999999989</v>
      </c>
      <c r="X18">
        <f t="shared" si="1"/>
        <v>6</v>
      </c>
      <c r="Y18">
        <f t="shared" si="2"/>
        <v>6</v>
      </c>
      <c r="Z18">
        <f t="shared" si="3"/>
        <v>6</v>
      </c>
      <c r="AA18">
        <f t="shared" si="4"/>
        <v>2</v>
      </c>
      <c r="AB18">
        <f t="shared" si="5"/>
        <v>0</v>
      </c>
      <c r="AC18">
        <f t="shared" si="6"/>
        <v>0</v>
      </c>
      <c r="AD18">
        <f t="shared" si="7"/>
        <v>125</v>
      </c>
      <c r="AE18">
        <f t="shared" si="8"/>
        <v>261</v>
      </c>
      <c r="AF18">
        <f t="shared" si="9"/>
        <v>16</v>
      </c>
      <c r="AG18">
        <f t="shared" si="10"/>
        <v>-26.5</v>
      </c>
      <c r="AH18">
        <f t="shared" si="11"/>
        <v>-4</v>
      </c>
      <c r="AI18">
        <f t="shared" si="12"/>
        <v>0</v>
      </c>
      <c r="AJ18">
        <f t="shared" si="13"/>
        <v>0</v>
      </c>
      <c r="AK18">
        <f t="shared" si="14"/>
        <v>0</v>
      </c>
      <c r="AL18">
        <f t="shared" si="15"/>
        <v>20</v>
      </c>
      <c r="AM18">
        <f t="shared" si="16"/>
        <v>391.5</v>
      </c>
      <c r="AN18">
        <f t="shared" si="17"/>
        <v>396</v>
      </c>
      <c r="AO18" s="1">
        <f t="shared" si="18"/>
        <v>0.98863636363636365</v>
      </c>
    </row>
    <row r="19" spans="1:41" x14ac:dyDescent="0.25">
      <c r="A19" t="s">
        <v>6</v>
      </c>
      <c r="B19">
        <v>6</v>
      </c>
      <c r="C19">
        <v>243</v>
      </c>
      <c r="D19">
        <v>83</v>
      </c>
      <c r="E19">
        <v>1</v>
      </c>
      <c r="F19">
        <v>62</v>
      </c>
      <c r="G19">
        <v>7</v>
      </c>
      <c r="H19">
        <v>0</v>
      </c>
      <c r="I19">
        <v>0</v>
      </c>
      <c r="J19">
        <v>0</v>
      </c>
      <c r="K19">
        <v>298</v>
      </c>
      <c r="L19">
        <v>3</v>
      </c>
      <c r="M19">
        <v>0</v>
      </c>
      <c r="N19" t="s">
        <v>1</v>
      </c>
      <c r="O19">
        <v>9</v>
      </c>
      <c r="P19">
        <v>13</v>
      </c>
      <c r="Q19">
        <v>50</v>
      </c>
      <c r="R19">
        <v>70</v>
      </c>
      <c r="S19">
        <v>77</v>
      </c>
      <c r="T19">
        <v>79</v>
      </c>
      <c r="U19">
        <v>343.8</v>
      </c>
      <c r="V19">
        <v>5</v>
      </c>
      <c r="W19">
        <f t="shared" si="0"/>
        <v>9.6999999999999886</v>
      </c>
      <c r="X19">
        <f t="shared" si="1"/>
        <v>6</v>
      </c>
      <c r="Y19">
        <f t="shared" si="2"/>
        <v>6</v>
      </c>
      <c r="Z19">
        <f t="shared" si="3"/>
        <v>1</v>
      </c>
      <c r="AA19">
        <f t="shared" si="4"/>
        <v>0</v>
      </c>
      <c r="AB19">
        <f t="shared" si="5"/>
        <v>0</v>
      </c>
      <c r="AC19">
        <f t="shared" si="6"/>
        <v>0</v>
      </c>
      <c r="AD19">
        <f t="shared" si="7"/>
        <v>121.5</v>
      </c>
      <c r="AE19">
        <f t="shared" si="8"/>
        <v>249</v>
      </c>
      <c r="AF19">
        <f t="shared" si="9"/>
        <v>8</v>
      </c>
      <c r="AG19">
        <f t="shared" si="10"/>
        <v>-31</v>
      </c>
      <c r="AH19">
        <f t="shared" si="11"/>
        <v>-7</v>
      </c>
      <c r="AI19">
        <f t="shared" si="12"/>
        <v>0</v>
      </c>
      <c r="AJ19">
        <f t="shared" si="13"/>
        <v>0</v>
      </c>
      <c r="AK19">
        <f t="shared" si="14"/>
        <v>0</v>
      </c>
      <c r="AL19">
        <f t="shared" si="15"/>
        <v>13</v>
      </c>
      <c r="AM19">
        <f t="shared" si="16"/>
        <v>353.5</v>
      </c>
      <c r="AN19">
        <f t="shared" si="17"/>
        <v>396</v>
      </c>
      <c r="AO19" s="1">
        <f t="shared" si="18"/>
        <v>0.89267676767676762</v>
      </c>
    </row>
    <row r="20" spans="1:41" x14ac:dyDescent="0.25">
      <c r="A20" t="s">
        <v>5</v>
      </c>
      <c r="B20">
        <v>6</v>
      </c>
      <c r="C20">
        <v>230</v>
      </c>
      <c r="D20">
        <v>70</v>
      </c>
      <c r="E20">
        <v>4</v>
      </c>
      <c r="F20">
        <v>53</v>
      </c>
      <c r="G20">
        <v>3</v>
      </c>
      <c r="H20">
        <v>0</v>
      </c>
      <c r="I20">
        <v>0</v>
      </c>
      <c r="J20">
        <v>0</v>
      </c>
      <c r="K20">
        <v>283</v>
      </c>
      <c r="L20">
        <v>3</v>
      </c>
      <c r="M20">
        <v>1</v>
      </c>
      <c r="N20" t="s">
        <v>0</v>
      </c>
      <c r="O20">
        <v>6</v>
      </c>
      <c r="P20">
        <v>13</v>
      </c>
      <c r="Q20">
        <v>50</v>
      </c>
      <c r="R20">
        <v>56</v>
      </c>
      <c r="S20">
        <v>79</v>
      </c>
      <c r="T20">
        <v>79</v>
      </c>
      <c r="U20">
        <v>343.8</v>
      </c>
      <c r="V20">
        <v>4</v>
      </c>
      <c r="W20">
        <f t="shared" si="0"/>
        <v>2.6999999999999886</v>
      </c>
      <c r="X20">
        <f t="shared" si="1"/>
        <v>12</v>
      </c>
      <c r="Y20">
        <f t="shared" si="2"/>
        <v>6</v>
      </c>
      <c r="Z20">
        <f t="shared" si="3"/>
        <v>1</v>
      </c>
      <c r="AA20">
        <f t="shared" si="4"/>
        <v>0</v>
      </c>
      <c r="AB20">
        <f t="shared" si="5"/>
        <v>0</v>
      </c>
      <c r="AC20">
        <f t="shared" si="6"/>
        <v>0</v>
      </c>
      <c r="AD20">
        <f t="shared" si="7"/>
        <v>115</v>
      </c>
      <c r="AE20">
        <f t="shared" si="8"/>
        <v>210</v>
      </c>
      <c r="AF20">
        <f t="shared" si="9"/>
        <v>32</v>
      </c>
      <c r="AG20">
        <f t="shared" si="10"/>
        <v>-26.5</v>
      </c>
      <c r="AH20">
        <f t="shared" si="11"/>
        <v>-3</v>
      </c>
      <c r="AI20">
        <f t="shared" si="12"/>
        <v>0</v>
      </c>
      <c r="AJ20">
        <f t="shared" si="13"/>
        <v>0</v>
      </c>
      <c r="AK20">
        <f t="shared" si="14"/>
        <v>0</v>
      </c>
      <c r="AL20">
        <f t="shared" si="15"/>
        <v>19</v>
      </c>
      <c r="AM20">
        <f t="shared" si="16"/>
        <v>346.5</v>
      </c>
      <c r="AN20">
        <f t="shared" si="17"/>
        <v>360</v>
      </c>
      <c r="AO20" s="1">
        <f t="shared" si="18"/>
        <v>0.96250000000000002</v>
      </c>
    </row>
    <row r="21" spans="1:41" x14ac:dyDescent="0.25">
      <c r="A21" t="s">
        <v>0</v>
      </c>
      <c r="B21">
        <v>6</v>
      </c>
      <c r="C21">
        <v>229</v>
      </c>
      <c r="D21">
        <v>75</v>
      </c>
      <c r="E21">
        <v>2</v>
      </c>
      <c r="F21">
        <v>53</v>
      </c>
      <c r="G21">
        <v>1</v>
      </c>
      <c r="H21">
        <v>0</v>
      </c>
      <c r="I21">
        <v>0</v>
      </c>
      <c r="J21">
        <v>0</v>
      </c>
      <c r="K21">
        <v>288</v>
      </c>
      <c r="L21">
        <v>3</v>
      </c>
      <c r="M21">
        <v>0</v>
      </c>
      <c r="N21" t="s">
        <v>5</v>
      </c>
      <c r="O21">
        <v>13</v>
      </c>
      <c r="P21">
        <v>20</v>
      </c>
      <c r="Q21">
        <v>33</v>
      </c>
      <c r="R21">
        <v>64</v>
      </c>
      <c r="S21">
        <v>79</v>
      </c>
      <c r="T21">
        <v>79</v>
      </c>
      <c r="U21">
        <v>343.8</v>
      </c>
      <c r="V21">
        <v>4</v>
      </c>
      <c r="W21">
        <f t="shared" si="0"/>
        <v>-2.8000000000000114</v>
      </c>
      <c r="X21">
        <f t="shared" si="1"/>
        <v>6</v>
      </c>
      <c r="Y21">
        <f t="shared" si="2"/>
        <v>5</v>
      </c>
      <c r="Z21">
        <f t="shared" si="3"/>
        <v>2</v>
      </c>
      <c r="AA21">
        <f t="shared" si="4"/>
        <v>0</v>
      </c>
      <c r="AB21">
        <f t="shared" si="5"/>
        <v>0</v>
      </c>
      <c r="AC21">
        <f t="shared" si="6"/>
        <v>0</v>
      </c>
      <c r="AD21">
        <f t="shared" si="7"/>
        <v>114.5</v>
      </c>
      <c r="AE21">
        <f t="shared" si="8"/>
        <v>225</v>
      </c>
      <c r="AF21">
        <f t="shared" si="9"/>
        <v>16</v>
      </c>
      <c r="AG21">
        <f t="shared" si="10"/>
        <v>-26.5</v>
      </c>
      <c r="AH21">
        <f t="shared" si="11"/>
        <v>-1</v>
      </c>
      <c r="AI21">
        <f t="shared" si="12"/>
        <v>0</v>
      </c>
      <c r="AJ21">
        <f t="shared" si="13"/>
        <v>0</v>
      </c>
      <c r="AK21">
        <f t="shared" si="14"/>
        <v>0</v>
      </c>
      <c r="AL21">
        <f t="shared" si="15"/>
        <v>13</v>
      </c>
      <c r="AM21">
        <f t="shared" si="16"/>
        <v>341</v>
      </c>
      <c r="AN21">
        <f t="shared" si="17"/>
        <v>360</v>
      </c>
      <c r="AO21" s="1">
        <f t="shared" si="18"/>
        <v>0.94722222222222219</v>
      </c>
    </row>
    <row r="22" spans="1:41" x14ac:dyDescent="0.25">
      <c r="A22" t="s">
        <v>7</v>
      </c>
      <c r="B22">
        <v>6</v>
      </c>
      <c r="C22">
        <v>210</v>
      </c>
      <c r="D22">
        <v>65</v>
      </c>
      <c r="E22">
        <v>2</v>
      </c>
      <c r="F22">
        <v>47</v>
      </c>
      <c r="G22">
        <v>0</v>
      </c>
      <c r="H22">
        <v>0</v>
      </c>
      <c r="I22">
        <v>0</v>
      </c>
      <c r="J22">
        <v>0</v>
      </c>
      <c r="K22">
        <v>305</v>
      </c>
      <c r="L22">
        <v>3</v>
      </c>
      <c r="M22">
        <v>0</v>
      </c>
      <c r="N22" t="s">
        <v>3</v>
      </c>
      <c r="O22">
        <v>6</v>
      </c>
      <c r="P22">
        <v>25</v>
      </c>
      <c r="Q22">
        <v>37</v>
      </c>
      <c r="R22">
        <v>79</v>
      </c>
      <c r="S22">
        <v>79</v>
      </c>
      <c r="T22">
        <v>79</v>
      </c>
      <c r="U22">
        <v>343.8</v>
      </c>
      <c r="V22">
        <v>3</v>
      </c>
      <c r="W22">
        <f t="shared" si="0"/>
        <v>-33.300000000000011</v>
      </c>
      <c r="X22">
        <f t="shared" si="1"/>
        <v>12</v>
      </c>
      <c r="Y22">
        <f t="shared" si="2"/>
        <v>4</v>
      </c>
      <c r="Z22">
        <f t="shared" si="3"/>
        <v>2</v>
      </c>
      <c r="AA22">
        <f t="shared" si="4"/>
        <v>0</v>
      </c>
      <c r="AB22">
        <f t="shared" si="5"/>
        <v>0</v>
      </c>
      <c r="AC22">
        <f t="shared" si="6"/>
        <v>0</v>
      </c>
      <c r="AD22">
        <f t="shared" si="7"/>
        <v>105</v>
      </c>
      <c r="AE22">
        <f t="shared" si="8"/>
        <v>195</v>
      </c>
      <c r="AF22">
        <f t="shared" si="9"/>
        <v>16</v>
      </c>
      <c r="AG22">
        <f t="shared" si="10"/>
        <v>-23.5</v>
      </c>
      <c r="AH22">
        <f t="shared" si="11"/>
        <v>0</v>
      </c>
      <c r="AI22">
        <f t="shared" si="12"/>
        <v>0</v>
      </c>
      <c r="AJ22">
        <f t="shared" si="13"/>
        <v>0</v>
      </c>
      <c r="AK22">
        <f t="shared" si="14"/>
        <v>0</v>
      </c>
      <c r="AL22">
        <f t="shared" si="15"/>
        <v>18</v>
      </c>
      <c r="AM22">
        <f t="shared" si="16"/>
        <v>310.5</v>
      </c>
      <c r="AN22">
        <f t="shared" si="17"/>
        <v>324</v>
      </c>
      <c r="AO22" s="1">
        <f t="shared" si="18"/>
        <v>0.95833333333333337</v>
      </c>
    </row>
    <row r="23" spans="1:41" x14ac:dyDescent="0.25">
      <c r="A23" t="s">
        <v>2</v>
      </c>
      <c r="B23">
        <v>6</v>
      </c>
      <c r="C23">
        <v>171</v>
      </c>
      <c r="D23">
        <v>54</v>
      </c>
      <c r="E23">
        <v>6</v>
      </c>
      <c r="F23">
        <v>50</v>
      </c>
      <c r="G23">
        <v>7</v>
      </c>
      <c r="H23">
        <v>0</v>
      </c>
      <c r="I23">
        <v>0</v>
      </c>
      <c r="J23">
        <v>0</v>
      </c>
      <c r="K23">
        <v>375</v>
      </c>
      <c r="L23">
        <v>3</v>
      </c>
      <c r="M23">
        <v>0</v>
      </c>
      <c r="N23" t="s">
        <v>4</v>
      </c>
      <c r="O23">
        <v>3</v>
      </c>
      <c r="P23">
        <v>56</v>
      </c>
      <c r="Q23">
        <v>79</v>
      </c>
      <c r="R23">
        <v>79</v>
      </c>
      <c r="S23">
        <v>79</v>
      </c>
      <c r="T23">
        <v>79</v>
      </c>
      <c r="U23">
        <v>343.8</v>
      </c>
      <c r="V23">
        <v>2</v>
      </c>
      <c r="W23">
        <f t="shared" si="0"/>
        <v>-62.300000000000011</v>
      </c>
      <c r="X23">
        <f t="shared" si="1"/>
        <v>18</v>
      </c>
      <c r="Y23">
        <f t="shared" si="2"/>
        <v>0</v>
      </c>
      <c r="Z23">
        <f t="shared" si="3"/>
        <v>0</v>
      </c>
      <c r="AA23">
        <f t="shared" si="4"/>
        <v>0</v>
      </c>
      <c r="AB23">
        <f t="shared" si="5"/>
        <v>0</v>
      </c>
      <c r="AC23">
        <f t="shared" si="6"/>
        <v>0</v>
      </c>
      <c r="AD23">
        <f t="shared" si="7"/>
        <v>85.5</v>
      </c>
      <c r="AE23">
        <f t="shared" si="8"/>
        <v>162</v>
      </c>
      <c r="AF23">
        <f t="shared" si="9"/>
        <v>48</v>
      </c>
      <c r="AG23">
        <f t="shared" si="10"/>
        <v>-25</v>
      </c>
      <c r="AH23">
        <f t="shared" si="11"/>
        <v>-7</v>
      </c>
      <c r="AI23">
        <f t="shared" si="12"/>
        <v>0</v>
      </c>
      <c r="AJ23">
        <f t="shared" si="13"/>
        <v>0</v>
      </c>
      <c r="AK23">
        <f t="shared" si="14"/>
        <v>0</v>
      </c>
      <c r="AL23">
        <f t="shared" si="15"/>
        <v>18</v>
      </c>
      <c r="AM23">
        <f t="shared" si="16"/>
        <v>281.5</v>
      </c>
      <c r="AN23">
        <f t="shared" si="17"/>
        <v>288</v>
      </c>
      <c r="AO23" s="1">
        <f t="shared" si="18"/>
        <v>0.97743055555555558</v>
      </c>
    </row>
    <row r="24" spans="1:41" x14ac:dyDescent="0.25">
      <c r="A24" t="s">
        <v>4</v>
      </c>
      <c r="B24">
        <v>6</v>
      </c>
      <c r="C24">
        <v>198</v>
      </c>
      <c r="D24">
        <v>73</v>
      </c>
      <c r="E24">
        <v>2</v>
      </c>
      <c r="F24">
        <v>48</v>
      </c>
      <c r="G24">
        <v>3</v>
      </c>
      <c r="H24">
        <v>0</v>
      </c>
      <c r="I24">
        <v>0</v>
      </c>
      <c r="J24">
        <v>0</v>
      </c>
      <c r="K24">
        <v>325</v>
      </c>
      <c r="L24">
        <v>3</v>
      </c>
      <c r="M24">
        <v>1</v>
      </c>
      <c r="N24" t="s">
        <v>2</v>
      </c>
      <c r="O24">
        <v>2</v>
      </c>
      <c r="P24">
        <v>43</v>
      </c>
      <c r="Q24">
        <v>43</v>
      </c>
      <c r="R24">
        <v>79</v>
      </c>
      <c r="S24">
        <v>79</v>
      </c>
      <c r="T24">
        <v>79</v>
      </c>
      <c r="U24">
        <v>343.8</v>
      </c>
      <c r="V24">
        <v>3</v>
      </c>
      <c r="W24">
        <f t="shared" si="0"/>
        <v>-9.8000000000000114</v>
      </c>
      <c r="X24">
        <f t="shared" si="1"/>
        <v>25</v>
      </c>
      <c r="Y24">
        <f t="shared" si="2"/>
        <v>1</v>
      </c>
      <c r="Z24">
        <f t="shared" si="3"/>
        <v>1</v>
      </c>
      <c r="AA24">
        <f t="shared" si="4"/>
        <v>0</v>
      </c>
      <c r="AB24">
        <f t="shared" si="5"/>
        <v>0</v>
      </c>
      <c r="AC24">
        <f t="shared" si="6"/>
        <v>0</v>
      </c>
      <c r="AD24">
        <f t="shared" si="7"/>
        <v>99</v>
      </c>
      <c r="AE24">
        <f t="shared" si="8"/>
        <v>219</v>
      </c>
      <c r="AF24">
        <f t="shared" si="9"/>
        <v>16</v>
      </c>
      <c r="AG24">
        <f t="shared" si="10"/>
        <v>-24</v>
      </c>
      <c r="AH24">
        <f t="shared" si="11"/>
        <v>-3</v>
      </c>
      <c r="AI24">
        <f t="shared" si="12"/>
        <v>0</v>
      </c>
      <c r="AJ24">
        <f t="shared" si="13"/>
        <v>0</v>
      </c>
      <c r="AK24">
        <f t="shared" si="14"/>
        <v>0</v>
      </c>
      <c r="AL24">
        <f t="shared" si="15"/>
        <v>27</v>
      </c>
      <c r="AM24">
        <f t="shared" si="16"/>
        <v>334</v>
      </c>
      <c r="AN24">
        <f t="shared" si="17"/>
        <v>324</v>
      </c>
      <c r="AO24" s="1">
        <f t="shared" si="18"/>
        <v>1.0308641975308641</v>
      </c>
    </row>
    <row r="25" spans="1:41" x14ac:dyDescent="0.25">
      <c r="A25" t="s">
        <v>1</v>
      </c>
      <c r="B25">
        <v>6</v>
      </c>
      <c r="C25">
        <v>255</v>
      </c>
      <c r="D25">
        <v>97</v>
      </c>
      <c r="E25">
        <v>4</v>
      </c>
      <c r="F25">
        <v>73</v>
      </c>
      <c r="G25">
        <v>2</v>
      </c>
      <c r="H25">
        <v>1</v>
      </c>
      <c r="I25">
        <v>1</v>
      </c>
      <c r="J25">
        <v>1</v>
      </c>
      <c r="K25">
        <v>183</v>
      </c>
      <c r="L25">
        <v>3</v>
      </c>
      <c r="M25">
        <v>1</v>
      </c>
      <c r="N25" t="s">
        <v>6</v>
      </c>
      <c r="O25">
        <v>9</v>
      </c>
      <c r="P25">
        <v>13</v>
      </c>
      <c r="Q25">
        <v>25</v>
      </c>
      <c r="R25">
        <v>37</v>
      </c>
      <c r="S25">
        <v>43</v>
      </c>
      <c r="T25">
        <v>56</v>
      </c>
      <c r="U25">
        <v>343.8</v>
      </c>
      <c r="V25">
        <v>6</v>
      </c>
      <c r="W25">
        <f t="shared" si="0"/>
        <v>104.19999999999999</v>
      </c>
      <c r="X25">
        <f t="shared" si="1"/>
        <v>6</v>
      </c>
      <c r="Y25">
        <f t="shared" si="2"/>
        <v>6</v>
      </c>
      <c r="Z25">
        <f t="shared" si="3"/>
        <v>4</v>
      </c>
      <c r="AA25">
        <f t="shared" si="4"/>
        <v>2</v>
      </c>
      <c r="AB25">
        <f t="shared" si="5"/>
        <v>1</v>
      </c>
      <c r="AC25">
        <f t="shared" si="6"/>
        <v>0</v>
      </c>
      <c r="AD25">
        <f t="shared" si="7"/>
        <v>127.5</v>
      </c>
      <c r="AE25">
        <f t="shared" si="8"/>
        <v>291</v>
      </c>
      <c r="AF25">
        <f t="shared" si="9"/>
        <v>32</v>
      </c>
      <c r="AG25">
        <f t="shared" si="10"/>
        <v>-36.5</v>
      </c>
      <c r="AH25">
        <f t="shared" si="11"/>
        <v>-2</v>
      </c>
      <c r="AI25">
        <f t="shared" si="12"/>
        <v>13</v>
      </c>
      <c r="AJ25">
        <f t="shared" si="13"/>
        <v>5</v>
      </c>
      <c r="AK25">
        <f t="shared" si="14"/>
        <v>-1</v>
      </c>
      <c r="AL25">
        <f t="shared" si="15"/>
        <v>19</v>
      </c>
      <c r="AM25">
        <f t="shared" si="16"/>
        <v>448</v>
      </c>
      <c r="AN25">
        <f t="shared" si="17"/>
        <v>432</v>
      </c>
      <c r="AO25" s="1">
        <f t="shared" si="18"/>
        <v>1.037037037037037</v>
      </c>
    </row>
    <row r="26" spans="1:41" x14ac:dyDescent="0.25">
      <c r="A26" t="s">
        <v>3</v>
      </c>
      <c r="B26">
        <v>6</v>
      </c>
      <c r="C26">
        <v>227</v>
      </c>
      <c r="D26">
        <v>64</v>
      </c>
      <c r="E26">
        <v>0</v>
      </c>
      <c r="F26">
        <v>30</v>
      </c>
      <c r="G26">
        <v>2</v>
      </c>
      <c r="H26">
        <v>0</v>
      </c>
      <c r="I26">
        <v>0</v>
      </c>
      <c r="J26">
        <v>1</v>
      </c>
      <c r="K26">
        <v>275</v>
      </c>
      <c r="L26">
        <v>4</v>
      </c>
      <c r="M26">
        <v>0</v>
      </c>
      <c r="N26" t="s">
        <v>4</v>
      </c>
      <c r="O26">
        <v>10</v>
      </c>
      <c r="P26">
        <v>39</v>
      </c>
      <c r="Q26">
        <v>39</v>
      </c>
      <c r="R26">
        <v>54</v>
      </c>
      <c r="S26">
        <v>54</v>
      </c>
      <c r="T26">
        <v>79</v>
      </c>
      <c r="U26">
        <v>345.8</v>
      </c>
      <c r="V26">
        <v>6</v>
      </c>
      <c r="W26">
        <f t="shared" si="0"/>
        <v>-47.300000000000011</v>
      </c>
      <c r="X26">
        <f t="shared" si="1"/>
        <v>7</v>
      </c>
      <c r="Y26">
        <f t="shared" si="2"/>
        <v>2</v>
      </c>
      <c r="Z26">
        <f t="shared" si="3"/>
        <v>2</v>
      </c>
      <c r="AA26">
        <f t="shared" si="4"/>
        <v>0</v>
      </c>
      <c r="AB26">
        <f t="shared" si="5"/>
        <v>0</v>
      </c>
      <c r="AC26">
        <f t="shared" si="6"/>
        <v>0</v>
      </c>
      <c r="AD26">
        <f t="shared" si="7"/>
        <v>113.5</v>
      </c>
      <c r="AE26">
        <f t="shared" si="8"/>
        <v>192</v>
      </c>
      <c r="AF26">
        <f t="shared" si="9"/>
        <v>0</v>
      </c>
      <c r="AG26">
        <f t="shared" si="10"/>
        <v>-15</v>
      </c>
      <c r="AH26">
        <f t="shared" si="11"/>
        <v>-2</v>
      </c>
      <c r="AI26">
        <f t="shared" si="12"/>
        <v>0</v>
      </c>
      <c r="AJ26">
        <f t="shared" si="13"/>
        <v>0</v>
      </c>
      <c r="AK26">
        <f t="shared" si="14"/>
        <v>-1</v>
      </c>
      <c r="AL26">
        <f t="shared" si="15"/>
        <v>11</v>
      </c>
      <c r="AM26">
        <f t="shared" si="16"/>
        <v>298.5</v>
      </c>
      <c r="AN26">
        <f t="shared" si="17"/>
        <v>324</v>
      </c>
      <c r="AO26" s="1">
        <f t="shared" si="18"/>
        <v>0.92129629629629628</v>
      </c>
    </row>
    <row r="27" spans="1:41" x14ac:dyDescent="0.25">
      <c r="A27" t="s">
        <v>6</v>
      </c>
      <c r="B27">
        <v>6</v>
      </c>
      <c r="C27">
        <v>209</v>
      </c>
      <c r="D27">
        <v>73</v>
      </c>
      <c r="E27">
        <v>7</v>
      </c>
      <c r="F27">
        <v>32</v>
      </c>
      <c r="G27">
        <v>3</v>
      </c>
      <c r="H27">
        <v>0</v>
      </c>
      <c r="I27">
        <v>0</v>
      </c>
      <c r="J27">
        <v>0</v>
      </c>
      <c r="K27">
        <v>192</v>
      </c>
      <c r="L27">
        <v>4</v>
      </c>
      <c r="M27">
        <v>1</v>
      </c>
      <c r="N27" t="s">
        <v>7</v>
      </c>
      <c r="O27">
        <v>2</v>
      </c>
      <c r="P27">
        <v>6</v>
      </c>
      <c r="Q27">
        <v>20</v>
      </c>
      <c r="R27">
        <v>47</v>
      </c>
      <c r="S27">
        <v>47</v>
      </c>
      <c r="T27">
        <v>70</v>
      </c>
      <c r="U27">
        <v>345.8</v>
      </c>
      <c r="V27">
        <v>6</v>
      </c>
      <c r="W27">
        <f t="shared" si="0"/>
        <v>58.699999999999989</v>
      </c>
      <c r="X27">
        <f t="shared" si="1"/>
        <v>25</v>
      </c>
      <c r="Y27">
        <f t="shared" si="2"/>
        <v>12</v>
      </c>
      <c r="Z27">
        <f t="shared" si="3"/>
        <v>5</v>
      </c>
      <c r="AA27">
        <f t="shared" si="4"/>
        <v>1</v>
      </c>
      <c r="AB27">
        <f t="shared" si="5"/>
        <v>1</v>
      </c>
      <c r="AC27">
        <f t="shared" si="6"/>
        <v>0</v>
      </c>
      <c r="AD27">
        <f t="shared" si="7"/>
        <v>104.5</v>
      </c>
      <c r="AE27">
        <f t="shared" si="8"/>
        <v>219</v>
      </c>
      <c r="AF27">
        <f t="shared" si="9"/>
        <v>56</v>
      </c>
      <c r="AG27">
        <f t="shared" si="10"/>
        <v>-16</v>
      </c>
      <c r="AH27">
        <f t="shared" si="11"/>
        <v>-3</v>
      </c>
      <c r="AI27">
        <f t="shared" si="12"/>
        <v>0</v>
      </c>
      <c r="AJ27">
        <f t="shared" si="13"/>
        <v>0</v>
      </c>
      <c r="AK27">
        <f t="shared" si="14"/>
        <v>0</v>
      </c>
      <c r="AL27">
        <f t="shared" si="15"/>
        <v>44</v>
      </c>
      <c r="AM27">
        <f t="shared" si="16"/>
        <v>404.5</v>
      </c>
      <c r="AN27">
        <f t="shared" si="17"/>
        <v>324</v>
      </c>
      <c r="AO27" s="1">
        <f t="shared" si="18"/>
        <v>1.2484567901234569</v>
      </c>
    </row>
    <row r="28" spans="1:41" x14ac:dyDescent="0.25">
      <c r="A28" t="s">
        <v>5</v>
      </c>
      <c r="B28">
        <v>6</v>
      </c>
      <c r="C28">
        <v>217</v>
      </c>
      <c r="D28">
        <v>71</v>
      </c>
      <c r="E28">
        <v>1</v>
      </c>
      <c r="F28">
        <v>33</v>
      </c>
      <c r="G28">
        <v>2</v>
      </c>
      <c r="H28">
        <v>0</v>
      </c>
      <c r="I28">
        <v>0</v>
      </c>
      <c r="J28">
        <v>0</v>
      </c>
      <c r="K28">
        <v>241</v>
      </c>
      <c r="L28">
        <v>4</v>
      </c>
      <c r="M28">
        <v>0</v>
      </c>
      <c r="N28" t="s">
        <v>2</v>
      </c>
      <c r="O28">
        <v>11</v>
      </c>
      <c r="P28">
        <v>14</v>
      </c>
      <c r="Q28">
        <v>26</v>
      </c>
      <c r="R28">
        <v>58</v>
      </c>
      <c r="S28">
        <v>66</v>
      </c>
      <c r="T28">
        <v>66</v>
      </c>
      <c r="U28">
        <v>345.8</v>
      </c>
      <c r="V28">
        <v>6</v>
      </c>
      <c r="W28">
        <f t="shared" si="0"/>
        <v>-19.800000000000011</v>
      </c>
      <c r="X28">
        <f t="shared" si="1"/>
        <v>6</v>
      </c>
      <c r="Y28">
        <f t="shared" si="2"/>
        <v>6</v>
      </c>
      <c r="Z28">
        <f t="shared" si="3"/>
        <v>3</v>
      </c>
      <c r="AA28">
        <f t="shared" si="4"/>
        <v>0</v>
      </c>
      <c r="AB28">
        <f t="shared" si="5"/>
        <v>0</v>
      </c>
      <c r="AC28">
        <f t="shared" si="6"/>
        <v>0</v>
      </c>
      <c r="AD28">
        <f t="shared" si="7"/>
        <v>108.5</v>
      </c>
      <c r="AE28">
        <f t="shared" si="8"/>
        <v>213</v>
      </c>
      <c r="AF28">
        <f t="shared" si="9"/>
        <v>8</v>
      </c>
      <c r="AG28">
        <f t="shared" si="10"/>
        <v>-16.5</v>
      </c>
      <c r="AH28">
        <f t="shared" si="11"/>
        <v>-2</v>
      </c>
      <c r="AI28">
        <f t="shared" si="12"/>
        <v>0</v>
      </c>
      <c r="AJ28">
        <f t="shared" si="13"/>
        <v>0</v>
      </c>
      <c r="AK28">
        <f t="shared" si="14"/>
        <v>0</v>
      </c>
      <c r="AL28">
        <f t="shared" si="15"/>
        <v>15</v>
      </c>
      <c r="AM28">
        <f t="shared" si="16"/>
        <v>326</v>
      </c>
      <c r="AN28">
        <f t="shared" si="17"/>
        <v>324</v>
      </c>
      <c r="AO28" s="1">
        <f t="shared" si="18"/>
        <v>1.0061728395061729</v>
      </c>
    </row>
    <row r="29" spans="1:41" x14ac:dyDescent="0.25">
      <c r="A29" t="s">
        <v>0</v>
      </c>
      <c r="B29">
        <v>6</v>
      </c>
      <c r="C29">
        <v>211</v>
      </c>
      <c r="D29">
        <v>79</v>
      </c>
      <c r="E29">
        <v>0</v>
      </c>
      <c r="F29">
        <v>31</v>
      </c>
      <c r="G29">
        <v>2</v>
      </c>
      <c r="H29">
        <v>0</v>
      </c>
      <c r="I29">
        <v>0</v>
      </c>
      <c r="J29">
        <v>1</v>
      </c>
      <c r="K29">
        <v>202</v>
      </c>
      <c r="L29">
        <v>4</v>
      </c>
      <c r="M29">
        <v>1</v>
      </c>
      <c r="N29" t="s">
        <v>1</v>
      </c>
      <c r="O29">
        <v>6</v>
      </c>
      <c r="P29">
        <v>14</v>
      </c>
      <c r="Q29">
        <v>20</v>
      </c>
      <c r="R29">
        <v>20</v>
      </c>
      <c r="S29">
        <v>71</v>
      </c>
      <c r="T29">
        <v>71</v>
      </c>
      <c r="U29">
        <v>345.8</v>
      </c>
      <c r="V29">
        <v>6</v>
      </c>
      <c r="W29">
        <f t="shared" si="0"/>
        <v>6.1999999999999886</v>
      </c>
      <c r="X29">
        <f t="shared" si="1"/>
        <v>12</v>
      </c>
      <c r="Y29">
        <f t="shared" si="2"/>
        <v>6</v>
      </c>
      <c r="Z29">
        <f t="shared" si="3"/>
        <v>5</v>
      </c>
      <c r="AA29">
        <f t="shared" si="4"/>
        <v>5</v>
      </c>
      <c r="AB29">
        <f t="shared" si="5"/>
        <v>0</v>
      </c>
      <c r="AC29">
        <f t="shared" si="6"/>
        <v>0</v>
      </c>
      <c r="AD29">
        <f t="shared" si="7"/>
        <v>105.5</v>
      </c>
      <c r="AE29">
        <f t="shared" si="8"/>
        <v>237</v>
      </c>
      <c r="AF29">
        <f t="shared" si="9"/>
        <v>0</v>
      </c>
      <c r="AG29">
        <f t="shared" si="10"/>
        <v>-15.5</v>
      </c>
      <c r="AH29">
        <f t="shared" si="11"/>
        <v>-2</v>
      </c>
      <c r="AI29">
        <f t="shared" si="12"/>
        <v>0</v>
      </c>
      <c r="AJ29">
        <f t="shared" si="13"/>
        <v>0</v>
      </c>
      <c r="AK29">
        <f t="shared" si="14"/>
        <v>-1</v>
      </c>
      <c r="AL29">
        <f t="shared" si="15"/>
        <v>28</v>
      </c>
      <c r="AM29">
        <f t="shared" si="16"/>
        <v>352</v>
      </c>
      <c r="AN29">
        <f t="shared" si="17"/>
        <v>324</v>
      </c>
      <c r="AO29" s="1">
        <f t="shared" si="18"/>
        <v>1.0864197530864197</v>
      </c>
    </row>
    <row r="30" spans="1:41" x14ac:dyDescent="0.25">
      <c r="A30" t="s">
        <v>7</v>
      </c>
      <c r="B30">
        <v>6</v>
      </c>
      <c r="C30">
        <v>190</v>
      </c>
      <c r="D30">
        <v>80</v>
      </c>
      <c r="E30">
        <v>1</v>
      </c>
      <c r="F30">
        <v>42</v>
      </c>
      <c r="G30">
        <v>10</v>
      </c>
      <c r="H30">
        <v>0</v>
      </c>
      <c r="I30">
        <v>0</v>
      </c>
      <c r="J30">
        <v>1</v>
      </c>
      <c r="K30">
        <v>318</v>
      </c>
      <c r="L30">
        <v>4</v>
      </c>
      <c r="M30">
        <v>0</v>
      </c>
      <c r="N30" t="s">
        <v>6</v>
      </c>
      <c r="O30">
        <v>20</v>
      </c>
      <c r="P30">
        <v>47</v>
      </c>
      <c r="Q30">
        <v>47</v>
      </c>
      <c r="R30">
        <v>58</v>
      </c>
      <c r="S30">
        <v>66</v>
      </c>
      <c r="T30">
        <v>80</v>
      </c>
      <c r="U30">
        <v>345.8</v>
      </c>
      <c r="V30">
        <v>6</v>
      </c>
      <c r="W30">
        <f t="shared" si="0"/>
        <v>-27.800000000000011</v>
      </c>
      <c r="X30">
        <f t="shared" si="1"/>
        <v>5</v>
      </c>
      <c r="Y30">
        <f t="shared" si="2"/>
        <v>1</v>
      </c>
      <c r="Z30">
        <f t="shared" si="3"/>
        <v>1</v>
      </c>
      <c r="AA30">
        <f t="shared" si="4"/>
        <v>0</v>
      </c>
      <c r="AB30">
        <f t="shared" si="5"/>
        <v>0</v>
      </c>
      <c r="AC30">
        <f t="shared" si="6"/>
        <v>0</v>
      </c>
      <c r="AD30">
        <f t="shared" si="7"/>
        <v>95</v>
      </c>
      <c r="AE30">
        <f t="shared" si="8"/>
        <v>240</v>
      </c>
      <c r="AF30">
        <f t="shared" si="9"/>
        <v>8</v>
      </c>
      <c r="AG30">
        <f t="shared" si="10"/>
        <v>-21</v>
      </c>
      <c r="AH30">
        <f t="shared" si="11"/>
        <v>-10</v>
      </c>
      <c r="AI30">
        <f t="shared" si="12"/>
        <v>0</v>
      </c>
      <c r="AJ30">
        <f t="shared" si="13"/>
        <v>0</v>
      </c>
      <c r="AK30">
        <f t="shared" si="14"/>
        <v>-1</v>
      </c>
      <c r="AL30">
        <f t="shared" si="15"/>
        <v>7</v>
      </c>
      <c r="AM30">
        <f t="shared" si="16"/>
        <v>318</v>
      </c>
      <c r="AN30">
        <f t="shared" si="17"/>
        <v>324</v>
      </c>
      <c r="AO30" s="1">
        <f t="shared" si="18"/>
        <v>0.98148148148148151</v>
      </c>
    </row>
    <row r="31" spans="1:41" x14ac:dyDescent="0.25">
      <c r="A31" t="s">
        <v>2</v>
      </c>
      <c r="B31">
        <v>6</v>
      </c>
      <c r="C31">
        <v>181</v>
      </c>
      <c r="D31">
        <v>95</v>
      </c>
      <c r="E31">
        <v>4</v>
      </c>
      <c r="F31">
        <v>37</v>
      </c>
      <c r="G31">
        <v>7</v>
      </c>
      <c r="H31">
        <v>0</v>
      </c>
      <c r="I31">
        <v>0</v>
      </c>
      <c r="J31">
        <v>0</v>
      </c>
      <c r="K31">
        <v>178</v>
      </c>
      <c r="L31">
        <v>4</v>
      </c>
      <c r="M31">
        <v>1</v>
      </c>
      <c r="N31" t="s">
        <v>5</v>
      </c>
      <c r="O31">
        <v>1</v>
      </c>
      <c r="P31">
        <v>3</v>
      </c>
      <c r="Q31">
        <v>14</v>
      </c>
      <c r="R31">
        <v>31</v>
      </c>
      <c r="S31">
        <v>58</v>
      </c>
      <c r="T31">
        <v>71</v>
      </c>
      <c r="U31">
        <v>345.8</v>
      </c>
      <c r="V31">
        <v>6</v>
      </c>
      <c r="W31">
        <f t="shared" si="0"/>
        <v>112.19999999999999</v>
      </c>
      <c r="X31">
        <f t="shared" si="1"/>
        <v>50</v>
      </c>
      <c r="Y31">
        <f t="shared" si="2"/>
        <v>18</v>
      </c>
      <c r="Z31">
        <f t="shared" si="3"/>
        <v>6</v>
      </c>
      <c r="AA31">
        <f t="shared" si="4"/>
        <v>2</v>
      </c>
      <c r="AB31">
        <f t="shared" si="5"/>
        <v>0</v>
      </c>
      <c r="AC31">
        <f t="shared" si="6"/>
        <v>0</v>
      </c>
      <c r="AD31">
        <f t="shared" si="7"/>
        <v>90.5</v>
      </c>
      <c r="AE31">
        <f t="shared" si="8"/>
        <v>285</v>
      </c>
      <c r="AF31">
        <f t="shared" si="9"/>
        <v>32</v>
      </c>
      <c r="AG31">
        <f t="shared" si="10"/>
        <v>-18.5</v>
      </c>
      <c r="AH31">
        <f t="shared" si="11"/>
        <v>-7</v>
      </c>
      <c r="AI31">
        <f t="shared" si="12"/>
        <v>0</v>
      </c>
      <c r="AJ31">
        <f t="shared" si="13"/>
        <v>0</v>
      </c>
      <c r="AK31">
        <f t="shared" si="14"/>
        <v>0</v>
      </c>
      <c r="AL31">
        <f t="shared" si="15"/>
        <v>76</v>
      </c>
      <c r="AM31">
        <f t="shared" si="16"/>
        <v>458</v>
      </c>
      <c r="AN31">
        <f t="shared" si="17"/>
        <v>324</v>
      </c>
      <c r="AO31" s="1">
        <f t="shared" si="18"/>
        <v>1.4135802469135803</v>
      </c>
    </row>
    <row r="32" spans="1:41" x14ac:dyDescent="0.25">
      <c r="A32" t="s">
        <v>4</v>
      </c>
      <c r="B32">
        <v>6</v>
      </c>
      <c r="C32">
        <v>192</v>
      </c>
      <c r="D32">
        <v>90</v>
      </c>
      <c r="E32">
        <v>0</v>
      </c>
      <c r="F32">
        <v>38</v>
      </c>
      <c r="G32">
        <v>3</v>
      </c>
      <c r="H32">
        <v>0</v>
      </c>
      <c r="I32">
        <v>0</v>
      </c>
      <c r="J32">
        <v>1</v>
      </c>
      <c r="K32">
        <v>192</v>
      </c>
      <c r="L32">
        <v>4</v>
      </c>
      <c r="M32">
        <v>1</v>
      </c>
      <c r="N32" t="s">
        <v>3</v>
      </c>
      <c r="O32">
        <v>11</v>
      </c>
      <c r="P32">
        <v>14</v>
      </c>
      <c r="Q32">
        <v>20</v>
      </c>
      <c r="R32">
        <v>31</v>
      </c>
      <c r="S32">
        <v>58</v>
      </c>
      <c r="T32">
        <v>58</v>
      </c>
      <c r="U32">
        <v>345.8</v>
      </c>
      <c r="V32">
        <v>6</v>
      </c>
      <c r="W32">
        <f t="shared" si="0"/>
        <v>16.199999999999989</v>
      </c>
      <c r="X32">
        <f t="shared" si="1"/>
        <v>6</v>
      </c>
      <c r="Y32">
        <f t="shared" si="2"/>
        <v>6</v>
      </c>
      <c r="Z32">
        <f t="shared" si="3"/>
        <v>5</v>
      </c>
      <c r="AA32">
        <f t="shared" si="4"/>
        <v>2</v>
      </c>
      <c r="AB32">
        <f t="shared" si="5"/>
        <v>0</v>
      </c>
      <c r="AC32">
        <f t="shared" si="6"/>
        <v>0</v>
      </c>
      <c r="AD32">
        <f t="shared" si="7"/>
        <v>96</v>
      </c>
      <c r="AE32">
        <f t="shared" si="8"/>
        <v>270</v>
      </c>
      <c r="AF32">
        <f t="shared" si="9"/>
        <v>0</v>
      </c>
      <c r="AG32">
        <f t="shared" si="10"/>
        <v>-19</v>
      </c>
      <c r="AH32">
        <f t="shared" si="11"/>
        <v>-3</v>
      </c>
      <c r="AI32">
        <f t="shared" si="12"/>
        <v>0</v>
      </c>
      <c r="AJ32">
        <f t="shared" si="13"/>
        <v>0</v>
      </c>
      <c r="AK32">
        <f t="shared" si="14"/>
        <v>-1</v>
      </c>
      <c r="AL32">
        <f t="shared" si="15"/>
        <v>19</v>
      </c>
      <c r="AM32">
        <f t="shared" si="16"/>
        <v>362</v>
      </c>
      <c r="AN32">
        <f t="shared" si="17"/>
        <v>324</v>
      </c>
      <c r="AO32" s="1">
        <f t="shared" si="18"/>
        <v>1.117283950617284</v>
      </c>
    </row>
    <row r="33" spans="1:41" x14ac:dyDescent="0.25">
      <c r="A33" t="s">
        <v>1</v>
      </c>
      <c r="B33">
        <v>6</v>
      </c>
      <c r="C33">
        <v>219</v>
      </c>
      <c r="D33">
        <v>69</v>
      </c>
      <c r="E33">
        <v>3</v>
      </c>
      <c r="F33">
        <v>32</v>
      </c>
      <c r="G33">
        <v>1</v>
      </c>
      <c r="H33">
        <v>0</v>
      </c>
      <c r="I33">
        <v>0</v>
      </c>
      <c r="J33">
        <v>0</v>
      </c>
      <c r="K33">
        <v>196</v>
      </c>
      <c r="L33">
        <v>4</v>
      </c>
      <c r="M33">
        <v>0</v>
      </c>
      <c r="N33" t="s">
        <v>0</v>
      </c>
      <c r="O33">
        <v>11</v>
      </c>
      <c r="P33">
        <v>26</v>
      </c>
      <c r="Q33">
        <v>26</v>
      </c>
      <c r="R33">
        <v>31</v>
      </c>
      <c r="S33">
        <v>31</v>
      </c>
      <c r="T33">
        <v>71</v>
      </c>
      <c r="U33">
        <v>345.8</v>
      </c>
      <c r="V33">
        <v>6</v>
      </c>
      <c r="W33">
        <f t="shared" si="0"/>
        <v>-6.3000000000000114</v>
      </c>
      <c r="X33">
        <f t="shared" si="1"/>
        <v>6</v>
      </c>
      <c r="Y33">
        <f t="shared" si="2"/>
        <v>3</v>
      </c>
      <c r="Z33">
        <f t="shared" si="3"/>
        <v>3</v>
      </c>
      <c r="AA33">
        <f t="shared" si="4"/>
        <v>2</v>
      </c>
      <c r="AB33">
        <f t="shared" si="5"/>
        <v>2</v>
      </c>
      <c r="AC33">
        <f t="shared" si="6"/>
        <v>0</v>
      </c>
      <c r="AD33">
        <f t="shared" si="7"/>
        <v>109.5</v>
      </c>
      <c r="AE33">
        <f t="shared" si="8"/>
        <v>207</v>
      </c>
      <c r="AF33">
        <f t="shared" si="9"/>
        <v>24</v>
      </c>
      <c r="AG33">
        <f t="shared" si="10"/>
        <v>-16</v>
      </c>
      <c r="AH33">
        <f t="shared" si="11"/>
        <v>-1</v>
      </c>
      <c r="AI33">
        <f t="shared" si="12"/>
        <v>0</v>
      </c>
      <c r="AJ33">
        <f t="shared" si="13"/>
        <v>0</v>
      </c>
      <c r="AK33">
        <f t="shared" si="14"/>
        <v>0</v>
      </c>
      <c r="AL33">
        <f t="shared" si="15"/>
        <v>16</v>
      </c>
      <c r="AM33">
        <f t="shared" si="16"/>
        <v>339.5</v>
      </c>
      <c r="AN33">
        <f t="shared" si="17"/>
        <v>324</v>
      </c>
      <c r="AO33" s="1">
        <f t="shared" si="18"/>
        <v>1.0478395061728396</v>
      </c>
    </row>
    <row r="34" spans="1:41" x14ac:dyDescent="0.25">
      <c r="A34" t="s">
        <v>3</v>
      </c>
      <c r="B34">
        <v>6</v>
      </c>
      <c r="C34">
        <v>281</v>
      </c>
      <c r="D34">
        <v>101</v>
      </c>
      <c r="E34">
        <v>4</v>
      </c>
      <c r="F34">
        <v>43</v>
      </c>
      <c r="G34">
        <v>3</v>
      </c>
      <c r="H34">
        <v>0</v>
      </c>
      <c r="I34">
        <v>0</v>
      </c>
      <c r="J34">
        <v>0</v>
      </c>
      <c r="K34">
        <v>153</v>
      </c>
      <c r="L34">
        <v>5</v>
      </c>
      <c r="M34">
        <v>1</v>
      </c>
      <c r="N34" t="s">
        <v>2</v>
      </c>
      <c r="O34">
        <v>3</v>
      </c>
      <c r="P34">
        <v>6</v>
      </c>
      <c r="Q34">
        <v>17</v>
      </c>
      <c r="R34">
        <v>28</v>
      </c>
      <c r="S34">
        <v>39</v>
      </c>
      <c r="T34">
        <v>60</v>
      </c>
      <c r="U34">
        <v>357.5</v>
      </c>
      <c r="V34">
        <v>6</v>
      </c>
      <c r="W34">
        <f t="shared" ref="W34:W65" si="19">AM34-U34</f>
        <v>133.5</v>
      </c>
      <c r="X34">
        <f t="shared" ref="X34:X65" si="20">IF(O34=1,50,IF(O34=2,25,IF(O34=3,18,IF(O34=4,16,IF(O34=5,14,IF(O34=6,12,IF(O34=7,10,IF(O34=8,9,IF(O34=10,7,IF(O34&lt;=15,6,IF(O34&lt;=20,5,IF(O34&lt;=25,4,IF(O34&lt;=30,3,IF(O34&lt;=40,2,IF(O34&lt;=50,1,IF(O34&gt;50,0))))))))))))))))</f>
        <v>18</v>
      </c>
      <c r="Y34">
        <f t="shared" ref="Y34:Y65" si="21">IF(P34=1,50,IF(P34=2,25,IF(P34=3,18,IF(P34=4,16,IF(P34=5,14,IF(P34=6,12,IF(P34=7,10,IF(P34=8,9,IF(P34=10,7,IF(P34&lt;=15,6,IF(P34&lt;=20,5,IF(P34&lt;=25,4,IF(P34&lt;=30,3,IF(P34&lt;=40,2,IF(P34&lt;=50,1,IF(P34&gt;50,0))))))))))))))))</f>
        <v>12</v>
      </c>
      <c r="Z34">
        <f t="shared" ref="Z34:Z65" si="22">IF(Q34=1,50,IF(Q34=2,25,IF(Q34=3,18,IF(Q34=4,16,IF(Q34=5,14,IF(Q34=6,12,IF(Q34=7,10,IF(Q34=8,9,IF(Q34=10,7,IF(Q34&lt;=15,6,IF(Q34&lt;=20,5,IF(Q34&lt;=25,4,IF(Q34&lt;=30,3,IF(Q34&lt;=40,2,IF(Q34&lt;=50,1,IF(Q34&gt;50,0))))))))))))))))</f>
        <v>5</v>
      </c>
      <c r="AA34">
        <f t="shared" ref="AA34:AA65" si="23">IF(R34=1,50,IF(R34=2,25,IF(R34=3,18,IF(R34=4,16,IF(R34=5,14,IF(R34=6,12,IF(R34=7,10,IF(R34=8,9,IF(R34=10,7,IF(R34&lt;=15,6,IF(R34&lt;=20,5,IF(R34&lt;=25,4,IF(R34&lt;=30,3,IF(R34&lt;=40,2,IF(R34&lt;=50,1,IF(R34&gt;50,0))))))))))))))))</f>
        <v>3</v>
      </c>
      <c r="AB34">
        <f t="shared" ref="AB34:AB65" si="24">IF(S34=1,50,IF(S34=2,25,IF(S34=3,18,IF(S34=4,16,IF(S34=5,14,IF(S34=6,12,IF(S34=7,10,IF(S34=8,9,IF(S34=10,7,IF(S34&lt;=15,6,IF(S34&lt;=20,5,IF(S34&lt;=25,4,IF(S34&lt;=30,3,IF(S34&lt;=40,2,IF(S34&lt;=50,1,IF(S34&gt;50,0))))))))))))))))</f>
        <v>2</v>
      </c>
      <c r="AC34">
        <f t="shared" ref="AC34:AC65" si="25">IF(T34=1,50,IF(T34=2,25,IF(T34=3,18,IF(T34=4,16,IF(T34=5,14,IF(T34=6,12,IF(T34=7,10,IF(T34=8,9,IF(T34=10,7,IF(T34&lt;=15,6,IF(T34&lt;=20,5,IF(T34&lt;=25,4,IF(T34&lt;=30,3,IF(T34&lt;=40,2,IF(T34&lt;=50,1,IF(T34&gt;50,0))))))))))))))))</f>
        <v>0</v>
      </c>
      <c r="AD34">
        <f t="shared" ref="AD34:AD65" si="26">C34*0.5</f>
        <v>140.5</v>
      </c>
      <c r="AE34">
        <f t="shared" ref="AE34:AE65" si="27">D34*3</f>
        <v>303</v>
      </c>
      <c r="AF34">
        <f t="shared" ref="AF34:AF65" si="28">E34*8</f>
        <v>32</v>
      </c>
      <c r="AG34">
        <f t="shared" ref="AG34:AG65" si="29">-1*(F34/2)</f>
        <v>-21.5</v>
      </c>
      <c r="AH34">
        <f t="shared" ref="AH34:AH65" si="30">G34*-1</f>
        <v>-3</v>
      </c>
      <c r="AI34">
        <f t="shared" ref="AI34:AI65" si="31">H34*13</f>
        <v>0</v>
      </c>
      <c r="AJ34">
        <f t="shared" ref="AJ34:AJ65" si="32">I34*5</f>
        <v>0</v>
      </c>
      <c r="AK34">
        <f t="shared" ref="AK34:AK65" si="33">J34*-1</f>
        <v>0</v>
      </c>
      <c r="AL34">
        <f t="shared" ref="AL34:AL65" si="34">SUM(X34:AC34)</f>
        <v>40</v>
      </c>
      <c r="AM34">
        <f t="shared" ref="AM34:AM65" si="35">SUM(AD34:AL34)</f>
        <v>491</v>
      </c>
      <c r="AN34">
        <f t="shared" ref="AN34:AN65" si="36">SUM(C34:G34,J34)</f>
        <v>432</v>
      </c>
      <c r="AO34" s="1">
        <f t="shared" ref="AO34:AO65" si="37">AM34/AN34</f>
        <v>1.1365740740740742</v>
      </c>
    </row>
    <row r="35" spans="1:41" x14ac:dyDescent="0.25">
      <c r="A35" t="s">
        <v>6</v>
      </c>
      <c r="B35">
        <v>6</v>
      </c>
      <c r="C35">
        <v>234</v>
      </c>
      <c r="D35">
        <v>83</v>
      </c>
      <c r="E35">
        <v>1</v>
      </c>
      <c r="F35">
        <v>40</v>
      </c>
      <c r="G35">
        <v>2</v>
      </c>
      <c r="H35">
        <v>0</v>
      </c>
      <c r="I35">
        <v>0</v>
      </c>
      <c r="J35">
        <v>0</v>
      </c>
      <c r="K35">
        <v>217</v>
      </c>
      <c r="L35">
        <v>5</v>
      </c>
      <c r="M35">
        <v>1</v>
      </c>
      <c r="N35" t="s">
        <v>4</v>
      </c>
      <c r="O35">
        <v>8</v>
      </c>
      <c r="P35">
        <v>12</v>
      </c>
      <c r="Q35">
        <v>12</v>
      </c>
      <c r="R35">
        <v>39</v>
      </c>
      <c r="S35">
        <v>73</v>
      </c>
      <c r="T35">
        <v>73</v>
      </c>
      <c r="U35">
        <v>357.5</v>
      </c>
      <c r="V35">
        <v>4</v>
      </c>
      <c r="W35">
        <f t="shared" si="19"/>
        <v>17.5</v>
      </c>
      <c r="X35">
        <f t="shared" si="20"/>
        <v>9</v>
      </c>
      <c r="Y35">
        <f t="shared" si="21"/>
        <v>6</v>
      </c>
      <c r="Z35">
        <f t="shared" si="22"/>
        <v>6</v>
      </c>
      <c r="AA35">
        <f t="shared" si="23"/>
        <v>2</v>
      </c>
      <c r="AB35">
        <f t="shared" si="24"/>
        <v>0</v>
      </c>
      <c r="AC35">
        <f t="shared" si="25"/>
        <v>0</v>
      </c>
      <c r="AD35">
        <f t="shared" si="26"/>
        <v>117</v>
      </c>
      <c r="AE35">
        <f t="shared" si="27"/>
        <v>249</v>
      </c>
      <c r="AF35">
        <f t="shared" si="28"/>
        <v>8</v>
      </c>
      <c r="AG35">
        <f t="shared" si="29"/>
        <v>-20</v>
      </c>
      <c r="AH35">
        <f t="shared" si="30"/>
        <v>-2</v>
      </c>
      <c r="AI35">
        <f t="shared" si="31"/>
        <v>0</v>
      </c>
      <c r="AJ35">
        <f t="shared" si="32"/>
        <v>0</v>
      </c>
      <c r="AK35">
        <f t="shared" si="33"/>
        <v>0</v>
      </c>
      <c r="AL35">
        <f t="shared" si="34"/>
        <v>23</v>
      </c>
      <c r="AM35">
        <f t="shared" si="35"/>
        <v>375</v>
      </c>
      <c r="AN35">
        <f t="shared" si="36"/>
        <v>360</v>
      </c>
      <c r="AO35" s="1">
        <f t="shared" si="37"/>
        <v>1.0416666666666667</v>
      </c>
    </row>
    <row r="36" spans="1:41" x14ac:dyDescent="0.25">
      <c r="A36" t="s">
        <v>5</v>
      </c>
      <c r="B36">
        <v>6</v>
      </c>
      <c r="C36">
        <v>239</v>
      </c>
      <c r="D36">
        <v>70</v>
      </c>
      <c r="E36">
        <v>2</v>
      </c>
      <c r="F36">
        <v>46</v>
      </c>
      <c r="G36">
        <v>2</v>
      </c>
      <c r="H36">
        <v>0</v>
      </c>
      <c r="I36">
        <v>0</v>
      </c>
      <c r="J36">
        <v>1</v>
      </c>
      <c r="K36">
        <v>330</v>
      </c>
      <c r="L36">
        <v>5</v>
      </c>
      <c r="M36">
        <v>0</v>
      </c>
      <c r="N36" t="s">
        <v>1</v>
      </c>
      <c r="O36">
        <v>28</v>
      </c>
      <c r="P36">
        <v>41</v>
      </c>
      <c r="Q36">
        <v>49</v>
      </c>
      <c r="R36">
        <v>66</v>
      </c>
      <c r="S36">
        <v>73</v>
      </c>
      <c r="T36">
        <v>73</v>
      </c>
      <c r="U36">
        <v>357.5</v>
      </c>
      <c r="V36">
        <v>4</v>
      </c>
      <c r="W36">
        <f t="shared" si="19"/>
        <v>-33</v>
      </c>
      <c r="X36">
        <f t="shared" si="20"/>
        <v>3</v>
      </c>
      <c r="Y36">
        <f t="shared" si="21"/>
        <v>1</v>
      </c>
      <c r="Z36">
        <f t="shared" si="22"/>
        <v>1</v>
      </c>
      <c r="AA36">
        <f t="shared" si="23"/>
        <v>0</v>
      </c>
      <c r="AB36">
        <f t="shared" si="24"/>
        <v>0</v>
      </c>
      <c r="AC36">
        <f t="shared" si="25"/>
        <v>0</v>
      </c>
      <c r="AD36">
        <f t="shared" si="26"/>
        <v>119.5</v>
      </c>
      <c r="AE36">
        <f t="shared" si="27"/>
        <v>210</v>
      </c>
      <c r="AF36">
        <f t="shared" si="28"/>
        <v>16</v>
      </c>
      <c r="AG36">
        <f t="shared" si="29"/>
        <v>-23</v>
      </c>
      <c r="AH36">
        <f t="shared" si="30"/>
        <v>-2</v>
      </c>
      <c r="AI36">
        <f t="shared" si="31"/>
        <v>0</v>
      </c>
      <c r="AJ36">
        <f t="shared" si="32"/>
        <v>0</v>
      </c>
      <c r="AK36">
        <f t="shared" si="33"/>
        <v>-1</v>
      </c>
      <c r="AL36">
        <f t="shared" si="34"/>
        <v>5</v>
      </c>
      <c r="AM36">
        <f t="shared" si="35"/>
        <v>324.5</v>
      </c>
      <c r="AN36">
        <f t="shared" si="36"/>
        <v>360</v>
      </c>
      <c r="AO36" s="1">
        <f t="shared" si="37"/>
        <v>0.90138888888888891</v>
      </c>
    </row>
    <row r="37" spans="1:41" x14ac:dyDescent="0.25">
      <c r="A37" t="s">
        <v>0</v>
      </c>
      <c r="B37">
        <v>6</v>
      </c>
      <c r="C37">
        <v>273</v>
      </c>
      <c r="D37">
        <v>113</v>
      </c>
      <c r="E37">
        <v>3</v>
      </c>
      <c r="F37">
        <v>42</v>
      </c>
      <c r="G37">
        <v>1</v>
      </c>
      <c r="H37">
        <v>0</v>
      </c>
      <c r="I37">
        <v>0</v>
      </c>
      <c r="J37">
        <v>0</v>
      </c>
      <c r="K37">
        <v>83</v>
      </c>
      <c r="L37">
        <v>5</v>
      </c>
      <c r="M37">
        <v>1</v>
      </c>
      <c r="N37" t="s">
        <v>7</v>
      </c>
      <c r="O37">
        <v>3</v>
      </c>
      <c r="P37">
        <v>5</v>
      </c>
      <c r="Q37">
        <v>8</v>
      </c>
      <c r="R37">
        <v>17</v>
      </c>
      <c r="S37">
        <v>22</v>
      </c>
      <c r="T37">
        <v>28</v>
      </c>
      <c r="U37">
        <v>357.5</v>
      </c>
      <c r="V37">
        <v>6</v>
      </c>
      <c r="W37">
        <f t="shared" si="19"/>
        <v>173</v>
      </c>
      <c r="X37">
        <f t="shared" si="20"/>
        <v>18</v>
      </c>
      <c r="Y37">
        <f t="shared" si="21"/>
        <v>14</v>
      </c>
      <c r="Z37">
        <f t="shared" si="22"/>
        <v>9</v>
      </c>
      <c r="AA37">
        <f t="shared" si="23"/>
        <v>5</v>
      </c>
      <c r="AB37">
        <f t="shared" si="24"/>
        <v>4</v>
      </c>
      <c r="AC37">
        <f t="shared" si="25"/>
        <v>3</v>
      </c>
      <c r="AD37">
        <f t="shared" si="26"/>
        <v>136.5</v>
      </c>
      <c r="AE37">
        <f t="shared" si="27"/>
        <v>339</v>
      </c>
      <c r="AF37">
        <f t="shared" si="28"/>
        <v>24</v>
      </c>
      <c r="AG37">
        <f t="shared" si="29"/>
        <v>-21</v>
      </c>
      <c r="AH37">
        <f t="shared" si="30"/>
        <v>-1</v>
      </c>
      <c r="AI37">
        <f t="shared" si="31"/>
        <v>0</v>
      </c>
      <c r="AJ37">
        <f t="shared" si="32"/>
        <v>0</v>
      </c>
      <c r="AK37">
        <f t="shared" si="33"/>
        <v>0</v>
      </c>
      <c r="AL37">
        <f t="shared" si="34"/>
        <v>53</v>
      </c>
      <c r="AM37">
        <f t="shared" si="35"/>
        <v>530.5</v>
      </c>
      <c r="AN37">
        <f t="shared" si="36"/>
        <v>432</v>
      </c>
      <c r="AO37" s="1">
        <f t="shared" si="37"/>
        <v>1.2280092592592593</v>
      </c>
    </row>
    <row r="38" spans="1:41" x14ac:dyDescent="0.25">
      <c r="A38" t="s">
        <v>7</v>
      </c>
      <c r="B38">
        <v>5</v>
      </c>
      <c r="C38">
        <v>176</v>
      </c>
      <c r="D38">
        <v>42</v>
      </c>
      <c r="E38">
        <v>2</v>
      </c>
      <c r="F38">
        <v>28</v>
      </c>
      <c r="G38">
        <v>3</v>
      </c>
      <c r="H38">
        <v>0</v>
      </c>
      <c r="I38">
        <v>0</v>
      </c>
      <c r="J38">
        <v>1</v>
      </c>
      <c r="K38">
        <v>293</v>
      </c>
      <c r="L38">
        <v>5</v>
      </c>
      <c r="M38">
        <v>0</v>
      </c>
      <c r="N38" t="s">
        <v>0</v>
      </c>
      <c r="O38">
        <v>8</v>
      </c>
      <c r="P38">
        <v>66</v>
      </c>
      <c r="Q38">
        <v>73</v>
      </c>
      <c r="R38">
        <v>73</v>
      </c>
      <c r="S38">
        <v>73</v>
      </c>
      <c r="T38" t="s">
        <v>39</v>
      </c>
      <c r="U38">
        <v>357.5</v>
      </c>
      <c r="V38">
        <v>2</v>
      </c>
      <c r="W38">
        <f t="shared" si="19"/>
        <v>-136.5</v>
      </c>
      <c r="X38">
        <f t="shared" si="20"/>
        <v>9</v>
      </c>
      <c r="Y38">
        <f t="shared" si="21"/>
        <v>0</v>
      </c>
      <c r="Z38">
        <f t="shared" si="22"/>
        <v>0</v>
      </c>
      <c r="AA38">
        <f t="shared" si="23"/>
        <v>0</v>
      </c>
      <c r="AB38">
        <f t="shared" si="24"/>
        <v>0</v>
      </c>
      <c r="AC38">
        <f t="shared" si="25"/>
        <v>0</v>
      </c>
      <c r="AD38">
        <f t="shared" si="26"/>
        <v>88</v>
      </c>
      <c r="AE38">
        <f t="shared" si="27"/>
        <v>126</v>
      </c>
      <c r="AF38">
        <f t="shared" si="28"/>
        <v>16</v>
      </c>
      <c r="AG38">
        <f t="shared" si="29"/>
        <v>-14</v>
      </c>
      <c r="AH38">
        <f t="shared" si="30"/>
        <v>-3</v>
      </c>
      <c r="AI38">
        <f t="shared" si="31"/>
        <v>0</v>
      </c>
      <c r="AJ38">
        <f t="shared" si="32"/>
        <v>0</v>
      </c>
      <c r="AK38">
        <f t="shared" si="33"/>
        <v>-1</v>
      </c>
      <c r="AL38">
        <f t="shared" si="34"/>
        <v>9</v>
      </c>
      <c r="AM38">
        <f t="shared" si="35"/>
        <v>221</v>
      </c>
      <c r="AN38">
        <f t="shared" si="36"/>
        <v>252</v>
      </c>
      <c r="AO38" s="1">
        <f t="shared" si="37"/>
        <v>0.87698412698412698</v>
      </c>
    </row>
    <row r="39" spans="1:41" x14ac:dyDescent="0.25">
      <c r="A39" t="s">
        <v>2</v>
      </c>
      <c r="B39">
        <v>6</v>
      </c>
      <c r="C39">
        <v>223</v>
      </c>
      <c r="D39">
        <v>76</v>
      </c>
      <c r="E39">
        <v>3</v>
      </c>
      <c r="F39">
        <v>55</v>
      </c>
      <c r="G39">
        <v>3</v>
      </c>
      <c r="H39">
        <v>0</v>
      </c>
      <c r="I39">
        <v>0</v>
      </c>
      <c r="J39">
        <v>0</v>
      </c>
      <c r="K39">
        <v>319</v>
      </c>
      <c r="L39">
        <v>5</v>
      </c>
      <c r="M39">
        <v>0</v>
      </c>
      <c r="N39" t="s">
        <v>3</v>
      </c>
      <c r="O39">
        <v>17</v>
      </c>
      <c r="P39">
        <v>41</v>
      </c>
      <c r="Q39">
        <v>49</v>
      </c>
      <c r="R39">
        <v>66</v>
      </c>
      <c r="S39">
        <v>73</v>
      </c>
      <c r="T39">
        <v>73</v>
      </c>
      <c r="U39">
        <v>357.5</v>
      </c>
      <c r="V39">
        <v>4</v>
      </c>
      <c r="W39">
        <f t="shared" si="19"/>
        <v>-17.5</v>
      </c>
      <c r="X39">
        <f t="shared" si="20"/>
        <v>5</v>
      </c>
      <c r="Y39">
        <f t="shared" si="21"/>
        <v>1</v>
      </c>
      <c r="Z39">
        <f t="shared" si="22"/>
        <v>1</v>
      </c>
      <c r="AA39">
        <f t="shared" si="23"/>
        <v>0</v>
      </c>
      <c r="AB39">
        <f t="shared" si="24"/>
        <v>0</v>
      </c>
      <c r="AC39">
        <f t="shared" si="25"/>
        <v>0</v>
      </c>
      <c r="AD39">
        <f t="shared" si="26"/>
        <v>111.5</v>
      </c>
      <c r="AE39">
        <f t="shared" si="27"/>
        <v>228</v>
      </c>
      <c r="AF39">
        <f t="shared" si="28"/>
        <v>24</v>
      </c>
      <c r="AG39">
        <f t="shared" si="29"/>
        <v>-27.5</v>
      </c>
      <c r="AH39">
        <f t="shared" si="30"/>
        <v>-3</v>
      </c>
      <c r="AI39">
        <f t="shared" si="31"/>
        <v>0</v>
      </c>
      <c r="AJ39">
        <f t="shared" si="32"/>
        <v>0</v>
      </c>
      <c r="AK39">
        <f t="shared" si="33"/>
        <v>0</v>
      </c>
      <c r="AL39">
        <f t="shared" si="34"/>
        <v>7</v>
      </c>
      <c r="AM39">
        <f t="shared" si="35"/>
        <v>340</v>
      </c>
      <c r="AN39">
        <f t="shared" si="36"/>
        <v>360</v>
      </c>
      <c r="AO39" s="1">
        <f t="shared" si="37"/>
        <v>0.94444444444444442</v>
      </c>
    </row>
    <row r="40" spans="1:41" x14ac:dyDescent="0.25">
      <c r="A40" t="s">
        <v>4</v>
      </c>
      <c r="B40">
        <v>6</v>
      </c>
      <c r="C40">
        <v>196</v>
      </c>
      <c r="D40">
        <v>74</v>
      </c>
      <c r="E40">
        <v>2</v>
      </c>
      <c r="F40">
        <v>48</v>
      </c>
      <c r="G40">
        <v>4</v>
      </c>
      <c r="H40">
        <v>0</v>
      </c>
      <c r="I40">
        <v>0</v>
      </c>
      <c r="J40">
        <v>0</v>
      </c>
      <c r="K40">
        <v>304</v>
      </c>
      <c r="L40">
        <v>5</v>
      </c>
      <c r="M40">
        <v>0</v>
      </c>
      <c r="N40" t="s">
        <v>6</v>
      </c>
      <c r="O40">
        <v>15</v>
      </c>
      <c r="P40">
        <v>17</v>
      </c>
      <c r="Q40">
        <v>53</v>
      </c>
      <c r="R40">
        <v>73</v>
      </c>
      <c r="S40">
        <v>73</v>
      </c>
      <c r="T40">
        <v>73</v>
      </c>
      <c r="U40">
        <v>357.5</v>
      </c>
      <c r="V40">
        <v>3</v>
      </c>
      <c r="W40">
        <f t="shared" si="19"/>
        <v>-38.5</v>
      </c>
      <c r="X40">
        <f t="shared" si="20"/>
        <v>6</v>
      </c>
      <c r="Y40">
        <f t="shared" si="21"/>
        <v>5</v>
      </c>
      <c r="Z40">
        <f t="shared" si="22"/>
        <v>0</v>
      </c>
      <c r="AA40">
        <f t="shared" si="23"/>
        <v>0</v>
      </c>
      <c r="AB40">
        <f t="shared" si="24"/>
        <v>0</v>
      </c>
      <c r="AC40">
        <f t="shared" si="25"/>
        <v>0</v>
      </c>
      <c r="AD40">
        <f t="shared" si="26"/>
        <v>98</v>
      </c>
      <c r="AE40">
        <f t="shared" si="27"/>
        <v>222</v>
      </c>
      <c r="AF40">
        <f t="shared" si="28"/>
        <v>16</v>
      </c>
      <c r="AG40">
        <f t="shared" si="29"/>
        <v>-24</v>
      </c>
      <c r="AH40">
        <f t="shared" si="30"/>
        <v>-4</v>
      </c>
      <c r="AI40">
        <f t="shared" si="31"/>
        <v>0</v>
      </c>
      <c r="AJ40">
        <f t="shared" si="32"/>
        <v>0</v>
      </c>
      <c r="AK40">
        <f t="shared" si="33"/>
        <v>0</v>
      </c>
      <c r="AL40">
        <f t="shared" si="34"/>
        <v>11</v>
      </c>
      <c r="AM40">
        <f t="shared" si="35"/>
        <v>319</v>
      </c>
      <c r="AN40">
        <f t="shared" si="36"/>
        <v>324</v>
      </c>
      <c r="AO40" s="1">
        <f t="shared" si="37"/>
        <v>0.98456790123456794</v>
      </c>
    </row>
    <row r="41" spans="1:41" x14ac:dyDescent="0.25">
      <c r="A41" t="s">
        <v>1</v>
      </c>
      <c r="B41">
        <v>6</v>
      </c>
      <c r="C41">
        <v>271</v>
      </c>
      <c r="D41">
        <v>93</v>
      </c>
      <c r="E41">
        <v>4</v>
      </c>
      <c r="F41">
        <v>60</v>
      </c>
      <c r="G41">
        <v>4</v>
      </c>
      <c r="H41">
        <v>0</v>
      </c>
      <c r="I41">
        <v>0</v>
      </c>
      <c r="J41">
        <v>0</v>
      </c>
      <c r="K41">
        <v>256</v>
      </c>
      <c r="L41">
        <v>5</v>
      </c>
      <c r="M41">
        <v>1</v>
      </c>
      <c r="N41" t="s">
        <v>5</v>
      </c>
      <c r="O41">
        <v>22</v>
      </c>
      <c r="P41">
        <v>22</v>
      </c>
      <c r="Q41">
        <v>28</v>
      </c>
      <c r="R41">
        <v>53</v>
      </c>
      <c r="S41">
        <v>60</v>
      </c>
      <c r="T41">
        <v>71</v>
      </c>
      <c r="U41">
        <v>357.5</v>
      </c>
      <c r="V41">
        <v>6</v>
      </c>
      <c r="W41">
        <f t="shared" si="19"/>
        <v>66</v>
      </c>
      <c r="X41">
        <f t="shared" si="20"/>
        <v>4</v>
      </c>
      <c r="Y41">
        <f t="shared" si="21"/>
        <v>4</v>
      </c>
      <c r="Z41">
        <f t="shared" si="22"/>
        <v>3</v>
      </c>
      <c r="AA41">
        <f t="shared" si="23"/>
        <v>0</v>
      </c>
      <c r="AB41">
        <f t="shared" si="24"/>
        <v>0</v>
      </c>
      <c r="AC41">
        <f t="shared" si="25"/>
        <v>0</v>
      </c>
      <c r="AD41">
        <f t="shared" si="26"/>
        <v>135.5</v>
      </c>
      <c r="AE41">
        <f t="shared" si="27"/>
        <v>279</v>
      </c>
      <c r="AF41">
        <f t="shared" si="28"/>
        <v>32</v>
      </c>
      <c r="AG41">
        <f t="shared" si="29"/>
        <v>-30</v>
      </c>
      <c r="AH41">
        <f t="shared" si="30"/>
        <v>-4</v>
      </c>
      <c r="AI41">
        <f t="shared" si="31"/>
        <v>0</v>
      </c>
      <c r="AJ41">
        <f t="shared" si="32"/>
        <v>0</v>
      </c>
      <c r="AK41">
        <f t="shared" si="33"/>
        <v>0</v>
      </c>
      <c r="AL41">
        <f t="shared" si="34"/>
        <v>11</v>
      </c>
      <c r="AM41">
        <f t="shared" si="35"/>
        <v>423.5</v>
      </c>
      <c r="AN41">
        <f t="shared" si="36"/>
        <v>432</v>
      </c>
      <c r="AO41" s="1">
        <f t="shared" si="37"/>
        <v>0.98032407407407407</v>
      </c>
    </row>
    <row r="42" spans="1:41" x14ac:dyDescent="0.25">
      <c r="A42" t="s">
        <v>3</v>
      </c>
      <c r="B42">
        <v>5</v>
      </c>
      <c r="C42">
        <v>209</v>
      </c>
      <c r="D42">
        <v>70</v>
      </c>
      <c r="E42">
        <v>2</v>
      </c>
      <c r="F42">
        <v>41</v>
      </c>
      <c r="G42">
        <v>2</v>
      </c>
      <c r="H42">
        <v>0</v>
      </c>
      <c r="I42">
        <v>0</v>
      </c>
      <c r="J42">
        <v>0</v>
      </c>
      <c r="K42">
        <v>117</v>
      </c>
      <c r="L42">
        <v>6</v>
      </c>
      <c r="M42">
        <v>1</v>
      </c>
      <c r="N42" t="s">
        <v>5</v>
      </c>
      <c r="O42">
        <v>4</v>
      </c>
      <c r="P42">
        <v>7</v>
      </c>
      <c r="Q42">
        <v>10</v>
      </c>
      <c r="R42">
        <v>44</v>
      </c>
      <c r="S42">
        <v>52</v>
      </c>
      <c r="T42" t="s">
        <v>39</v>
      </c>
      <c r="U42">
        <v>348.5</v>
      </c>
      <c r="V42">
        <v>4</v>
      </c>
      <c r="W42">
        <f t="shared" si="19"/>
        <v>-6.5</v>
      </c>
      <c r="X42">
        <f t="shared" si="20"/>
        <v>16</v>
      </c>
      <c r="Y42">
        <f t="shared" si="21"/>
        <v>10</v>
      </c>
      <c r="Z42">
        <f t="shared" si="22"/>
        <v>7</v>
      </c>
      <c r="AA42">
        <f t="shared" si="23"/>
        <v>1</v>
      </c>
      <c r="AB42">
        <f t="shared" si="24"/>
        <v>0</v>
      </c>
      <c r="AC42">
        <f t="shared" si="25"/>
        <v>0</v>
      </c>
      <c r="AD42">
        <f t="shared" si="26"/>
        <v>104.5</v>
      </c>
      <c r="AE42">
        <f t="shared" si="27"/>
        <v>210</v>
      </c>
      <c r="AF42">
        <f t="shared" si="28"/>
        <v>16</v>
      </c>
      <c r="AG42">
        <f t="shared" si="29"/>
        <v>-20.5</v>
      </c>
      <c r="AH42">
        <f t="shared" si="30"/>
        <v>-2</v>
      </c>
      <c r="AI42">
        <f t="shared" si="31"/>
        <v>0</v>
      </c>
      <c r="AJ42">
        <f t="shared" si="32"/>
        <v>0</v>
      </c>
      <c r="AK42">
        <f t="shared" si="33"/>
        <v>0</v>
      </c>
      <c r="AL42">
        <f t="shared" si="34"/>
        <v>34</v>
      </c>
      <c r="AM42">
        <f t="shared" si="35"/>
        <v>342</v>
      </c>
      <c r="AN42">
        <f t="shared" si="36"/>
        <v>324</v>
      </c>
      <c r="AO42" s="1">
        <f t="shared" si="37"/>
        <v>1.0555555555555556</v>
      </c>
    </row>
    <row r="43" spans="1:41" x14ac:dyDescent="0.25">
      <c r="A43" t="s">
        <v>6</v>
      </c>
      <c r="B43">
        <v>5</v>
      </c>
      <c r="C43">
        <v>202</v>
      </c>
      <c r="D43">
        <v>68</v>
      </c>
      <c r="E43">
        <v>1</v>
      </c>
      <c r="F43">
        <v>50</v>
      </c>
      <c r="G43">
        <v>3</v>
      </c>
      <c r="H43">
        <v>0</v>
      </c>
      <c r="I43">
        <v>0</v>
      </c>
      <c r="J43">
        <v>0</v>
      </c>
      <c r="K43">
        <v>162</v>
      </c>
      <c r="L43">
        <v>6</v>
      </c>
      <c r="M43">
        <v>0</v>
      </c>
      <c r="N43" t="s">
        <v>2</v>
      </c>
      <c r="O43">
        <v>16</v>
      </c>
      <c r="P43">
        <v>19</v>
      </c>
      <c r="Q43">
        <v>31</v>
      </c>
      <c r="R43">
        <v>44</v>
      </c>
      <c r="S43">
        <v>52</v>
      </c>
      <c r="T43" t="s">
        <v>39</v>
      </c>
      <c r="U43">
        <v>348.5</v>
      </c>
      <c r="V43">
        <v>4</v>
      </c>
      <c r="W43">
        <f t="shared" si="19"/>
        <v>-50.5</v>
      </c>
      <c r="X43">
        <f t="shared" si="20"/>
        <v>5</v>
      </c>
      <c r="Y43">
        <f t="shared" si="21"/>
        <v>5</v>
      </c>
      <c r="Z43">
        <f t="shared" si="22"/>
        <v>2</v>
      </c>
      <c r="AA43">
        <f t="shared" si="23"/>
        <v>1</v>
      </c>
      <c r="AB43">
        <f t="shared" si="24"/>
        <v>0</v>
      </c>
      <c r="AC43">
        <f t="shared" si="25"/>
        <v>0</v>
      </c>
      <c r="AD43">
        <f t="shared" si="26"/>
        <v>101</v>
      </c>
      <c r="AE43">
        <f t="shared" si="27"/>
        <v>204</v>
      </c>
      <c r="AF43">
        <f t="shared" si="28"/>
        <v>8</v>
      </c>
      <c r="AG43">
        <f t="shared" si="29"/>
        <v>-25</v>
      </c>
      <c r="AH43">
        <f t="shared" si="30"/>
        <v>-3</v>
      </c>
      <c r="AI43">
        <f t="shared" si="31"/>
        <v>0</v>
      </c>
      <c r="AJ43">
        <f t="shared" si="32"/>
        <v>0</v>
      </c>
      <c r="AK43">
        <f t="shared" si="33"/>
        <v>0</v>
      </c>
      <c r="AL43">
        <f t="shared" si="34"/>
        <v>13</v>
      </c>
      <c r="AM43">
        <f t="shared" si="35"/>
        <v>298</v>
      </c>
      <c r="AN43">
        <f t="shared" si="36"/>
        <v>324</v>
      </c>
      <c r="AO43" s="1">
        <f t="shared" si="37"/>
        <v>0.91975308641975306</v>
      </c>
    </row>
    <row r="44" spans="1:41" x14ac:dyDescent="0.25">
      <c r="A44" t="s">
        <v>5</v>
      </c>
      <c r="B44">
        <v>6</v>
      </c>
      <c r="C44">
        <v>230</v>
      </c>
      <c r="D44">
        <v>70</v>
      </c>
      <c r="E44">
        <v>2</v>
      </c>
      <c r="F44">
        <v>54</v>
      </c>
      <c r="G44">
        <v>3</v>
      </c>
      <c r="H44">
        <v>0</v>
      </c>
      <c r="I44">
        <v>0</v>
      </c>
      <c r="J44">
        <v>1</v>
      </c>
      <c r="K44">
        <v>212</v>
      </c>
      <c r="L44">
        <v>6</v>
      </c>
      <c r="M44">
        <v>0</v>
      </c>
      <c r="N44" t="s">
        <v>3</v>
      </c>
      <c r="O44">
        <v>16</v>
      </c>
      <c r="P44">
        <v>24</v>
      </c>
      <c r="Q44">
        <v>24</v>
      </c>
      <c r="R44">
        <v>44</v>
      </c>
      <c r="S44">
        <v>52</v>
      </c>
      <c r="T44">
        <v>52</v>
      </c>
      <c r="U44">
        <v>348.5</v>
      </c>
      <c r="V44">
        <v>4</v>
      </c>
      <c r="W44">
        <f t="shared" si="19"/>
        <v>-24.5</v>
      </c>
      <c r="X44">
        <f t="shared" si="20"/>
        <v>5</v>
      </c>
      <c r="Y44">
        <f t="shared" si="21"/>
        <v>4</v>
      </c>
      <c r="Z44">
        <f t="shared" si="22"/>
        <v>4</v>
      </c>
      <c r="AA44">
        <f t="shared" si="23"/>
        <v>1</v>
      </c>
      <c r="AB44">
        <f t="shared" si="24"/>
        <v>0</v>
      </c>
      <c r="AC44">
        <f t="shared" si="25"/>
        <v>0</v>
      </c>
      <c r="AD44">
        <f t="shared" si="26"/>
        <v>115</v>
      </c>
      <c r="AE44">
        <f t="shared" si="27"/>
        <v>210</v>
      </c>
      <c r="AF44">
        <f t="shared" si="28"/>
        <v>16</v>
      </c>
      <c r="AG44">
        <f t="shared" si="29"/>
        <v>-27</v>
      </c>
      <c r="AH44">
        <f t="shared" si="30"/>
        <v>-3</v>
      </c>
      <c r="AI44">
        <f t="shared" si="31"/>
        <v>0</v>
      </c>
      <c r="AJ44">
        <f t="shared" si="32"/>
        <v>0</v>
      </c>
      <c r="AK44">
        <f t="shared" si="33"/>
        <v>-1</v>
      </c>
      <c r="AL44">
        <f t="shared" si="34"/>
        <v>14</v>
      </c>
      <c r="AM44">
        <f t="shared" si="35"/>
        <v>324</v>
      </c>
      <c r="AN44">
        <f t="shared" si="36"/>
        <v>360</v>
      </c>
      <c r="AO44" s="1">
        <f t="shared" si="37"/>
        <v>0.9</v>
      </c>
    </row>
    <row r="45" spans="1:41" x14ac:dyDescent="0.25">
      <c r="A45" t="s">
        <v>0</v>
      </c>
      <c r="B45">
        <v>6</v>
      </c>
      <c r="C45">
        <v>262</v>
      </c>
      <c r="D45">
        <v>95</v>
      </c>
      <c r="E45">
        <v>5</v>
      </c>
      <c r="F45">
        <v>65</v>
      </c>
      <c r="G45">
        <v>5</v>
      </c>
      <c r="H45">
        <v>0</v>
      </c>
      <c r="I45">
        <v>1</v>
      </c>
      <c r="J45">
        <v>0</v>
      </c>
      <c r="K45">
        <v>156</v>
      </c>
      <c r="L45">
        <v>6</v>
      </c>
      <c r="M45">
        <v>1</v>
      </c>
      <c r="N45" t="s">
        <v>4</v>
      </c>
      <c r="O45">
        <v>2</v>
      </c>
      <c r="P45">
        <v>10</v>
      </c>
      <c r="Q45">
        <v>24</v>
      </c>
      <c r="R45">
        <v>37</v>
      </c>
      <c r="S45">
        <v>39</v>
      </c>
      <c r="T45">
        <v>44</v>
      </c>
      <c r="U45">
        <v>348.5</v>
      </c>
      <c r="V45">
        <v>6</v>
      </c>
      <c r="W45">
        <f t="shared" si="19"/>
        <v>116</v>
      </c>
      <c r="X45">
        <f t="shared" si="20"/>
        <v>25</v>
      </c>
      <c r="Y45">
        <f t="shared" si="21"/>
        <v>7</v>
      </c>
      <c r="Z45">
        <f t="shared" si="22"/>
        <v>4</v>
      </c>
      <c r="AA45">
        <f t="shared" si="23"/>
        <v>2</v>
      </c>
      <c r="AB45">
        <f t="shared" si="24"/>
        <v>2</v>
      </c>
      <c r="AC45">
        <f t="shared" si="25"/>
        <v>1</v>
      </c>
      <c r="AD45">
        <f t="shared" si="26"/>
        <v>131</v>
      </c>
      <c r="AE45">
        <f t="shared" si="27"/>
        <v>285</v>
      </c>
      <c r="AF45">
        <f t="shared" si="28"/>
        <v>40</v>
      </c>
      <c r="AG45">
        <f t="shared" si="29"/>
        <v>-32.5</v>
      </c>
      <c r="AH45">
        <f t="shared" si="30"/>
        <v>-5</v>
      </c>
      <c r="AI45">
        <f t="shared" si="31"/>
        <v>0</v>
      </c>
      <c r="AJ45">
        <f t="shared" si="32"/>
        <v>5</v>
      </c>
      <c r="AK45">
        <f t="shared" si="33"/>
        <v>0</v>
      </c>
      <c r="AL45">
        <f t="shared" si="34"/>
        <v>41</v>
      </c>
      <c r="AM45">
        <f t="shared" si="35"/>
        <v>464.5</v>
      </c>
      <c r="AN45">
        <f t="shared" si="36"/>
        <v>432</v>
      </c>
      <c r="AO45" s="1">
        <f t="shared" si="37"/>
        <v>1.0752314814814814</v>
      </c>
    </row>
    <row r="46" spans="1:41" x14ac:dyDescent="0.25">
      <c r="A46" t="s">
        <v>7</v>
      </c>
      <c r="B46">
        <v>6</v>
      </c>
      <c r="C46">
        <v>214</v>
      </c>
      <c r="D46">
        <v>78</v>
      </c>
      <c r="E46">
        <v>4</v>
      </c>
      <c r="F46">
        <v>59</v>
      </c>
      <c r="G46">
        <v>2</v>
      </c>
      <c r="H46">
        <v>0</v>
      </c>
      <c r="I46">
        <v>0</v>
      </c>
      <c r="J46">
        <v>3</v>
      </c>
      <c r="K46">
        <v>201</v>
      </c>
      <c r="L46">
        <v>6</v>
      </c>
      <c r="M46">
        <v>0</v>
      </c>
      <c r="N46" t="s">
        <v>1</v>
      </c>
      <c r="O46">
        <v>19</v>
      </c>
      <c r="P46">
        <v>19</v>
      </c>
      <c r="Q46">
        <v>24</v>
      </c>
      <c r="R46">
        <v>35</v>
      </c>
      <c r="S46">
        <v>52</v>
      </c>
      <c r="T46">
        <v>52</v>
      </c>
      <c r="U46">
        <v>348.5</v>
      </c>
      <c r="V46">
        <v>4</v>
      </c>
      <c r="W46">
        <f t="shared" si="19"/>
        <v>6</v>
      </c>
      <c r="X46">
        <f t="shared" si="20"/>
        <v>5</v>
      </c>
      <c r="Y46">
        <f t="shared" si="21"/>
        <v>5</v>
      </c>
      <c r="Z46">
        <f t="shared" si="22"/>
        <v>4</v>
      </c>
      <c r="AA46">
        <f t="shared" si="23"/>
        <v>2</v>
      </c>
      <c r="AB46">
        <f t="shared" si="24"/>
        <v>0</v>
      </c>
      <c r="AC46">
        <f t="shared" si="25"/>
        <v>0</v>
      </c>
      <c r="AD46">
        <f t="shared" si="26"/>
        <v>107</v>
      </c>
      <c r="AE46">
        <f t="shared" si="27"/>
        <v>234</v>
      </c>
      <c r="AF46">
        <f t="shared" si="28"/>
        <v>32</v>
      </c>
      <c r="AG46">
        <f t="shared" si="29"/>
        <v>-29.5</v>
      </c>
      <c r="AH46">
        <f t="shared" si="30"/>
        <v>-2</v>
      </c>
      <c r="AI46">
        <f t="shared" si="31"/>
        <v>0</v>
      </c>
      <c r="AJ46">
        <f t="shared" si="32"/>
        <v>0</v>
      </c>
      <c r="AK46">
        <f t="shared" si="33"/>
        <v>-3</v>
      </c>
      <c r="AL46">
        <f t="shared" si="34"/>
        <v>16</v>
      </c>
      <c r="AM46">
        <f t="shared" si="35"/>
        <v>354.5</v>
      </c>
      <c r="AN46">
        <f t="shared" si="36"/>
        <v>360</v>
      </c>
      <c r="AO46" s="1">
        <f t="shared" si="37"/>
        <v>0.98472222222222228</v>
      </c>
    </row>
    <row r="47" spans="1:41" x14ac:dyDescent="0.25">
      <c r="A47" t="s">
        <v>2</v>
      </c>
      <c r="B47">
        <v>6</v>
      </c>
      <c r="C47">
        <v>216</v>
      </c>
      <c r="D47">
        <v>83</v>
      </c>
      <c r="E47">
        <v>2</v>
      </c>
      <c r="F47">
        <v>56</v>
      </c>
      <c r="G47">
        <v>3</v>
      </c>
      <c r="H47">
        <v>0</v>
      </c>
      <c r="I47">
        <v>0</v>
      </c>
      <c r="J47">
        <v>0</v>
      </c>
      <c r="K47">
        <v>157</v>
      </c>
      <c r="L47">
        <v>6</v>
      </c>
      <c r="M47">
        <v>1</v>
      </c>
      <c r="N47" t="s">
        <v>6</v>
      </c>
      <c r="O47">
        <v>8</v>
      </c>
      <c r="P47">
        <v>10</v>
      </c>
      <c r="Q47">
        <v>16</v>
      </c>
      <c r="R47">
        <v>19</v>
      </c>
      <c r="S47">
        <v>52</v>
      </c>
      <c r="T47">
        <v>52</v>
      </c>
      <c r="U47">
        <v>348.5</v>
      </c>
      <c r="V47">
        <v>4</v>
      </c>
      <c r="W47">
        <f t="shared" si="19"/>
        <v>19.5</v>
      </c>
      <c r="X47">
        <f t="shared" si="20"/>
        <v>9</v>
      </c>
      <c r="Y47">
        <f t="shared" si="21"/>
        <v>7</v>
      </c>
      <c r="Z47">
        <f t="shared" si="22"/>
        <v>5</v>
      </c>
      <c r="AA47">
        <f t="shared" si="23"/>
        <v>5</v>
      </c>
      <c r="AB47">
        <f t="shared" si="24"/>
        <v>0</v>
      </c>
      <c r="AC47">
        <f t="shared" si="25"/>
        <v>0</v>
      </c>
      <c r="AD47">
        <f t="shared" si="26"/>
        <v>108</v>
      </c>
      <c r="AE47">
        <f t="shared" si="27"/>
        <v>249</v>
      </c>
      <c r="AF47">
        <f t="shared" si="28"/>
        <v>16</v>
      </c>
      <c r="AG47">
        <f t="shared" si="29"/>
        <v>-28</v>
      </c>
      <c r="AH47">
        <f t="shared" si="30"/>
        <v>-3</v>
      </c>
      <c r="AI47">
        <f t="shared" si="31"/>
        <v>0</v>
      </c>
      <c r="AJ47">
        <f t="shared" si="32"/>
        <v>0</v>
      </c>
      <c r="AK47">
        <f t="shared" si="33"/>
        <v>0</v>
      </c>
      <c r="AL47">
        <f t="shared" si="34"/>
        <v>26</v>
      </c>
      <c r="AM47">
        <f t="shared" si="35"/>
        <v>368</v>
      </c>
      <c r="AN47">
        <f t="shared" si="36"/>
        <v>360</v>
      </c>
      <c r="AO47" s="1">
        <f t="shared" si="37"/>
        <v>1.0222222222222221</v>
      </c>
    </row>
    <row r="48" spans="1:41" x14ac:dyDescent="0.25">
      <c r="A48" t="s">
        <v>4</v>
      </c>
      <c r="B48">
        <v>6</v>
      </c>
      <c r="C48">
        <v>218</v>
      </c>
      <c r="D48">
        <v>75</v>
      </c>
      <c r="E48">
        <v>3</v>
      </c>
      <c r="F48">
        <v>61</v>
      </c>
      <c r="G48">
        <v>3</v>
      </c>
      <c r="H48">
        <v>0</v>
      </c>
      <c r="I48">
        <v>0</v>
      </c>
      <c r="J48">
        <v>0</v>
      </c>
      <c r="K48">
        <v>196</v>
      </c>
      <c r="L48">
        <v>6</v>
      </c>
      <c r="M48">
        <v>0</v>
      </c>
      <c r="N48" t="s">
        <v>0</v>
      </c>
      <c r="O48">
        <v>10</v>
      </c>
      <c r="P48">
        <v>19</v>
      </c>
      <c r="Q48">
        <v>24</v>
      </c>
      <c r="R48">
        <v>39</v>
      </c>
      <c r="S48">
        <v>52</v>
      </c>
      <c r="T48">
        <v>52</v>
      </c>
      <c r="U48">
        <v>348.5</v>
      </c>
      <c r="V48">
        <v>4</v>
      </c>
      <c r="W48">
        <f t="shared" si="19"/>
        <v>-6</v>
      </c>
      <c r="X48">
        <f t="shared" si="20"/>
        <v>7</v>
      </c>
      <c r="Y48">
        <f t="shared" si="21"/>
        <v>5</v>
      </c>
      <c r="Z48">
        <f t="shared" si="22"/>
        <v>4</v>
      </c>
      <c r="AA48">
        <f t="shared" si="23"/>
        <v>2</v>
      </c>
      <c r="AB48">
        <f t="shared" si="24"/>
        <v>0</v>
      </c>
      <c r="AC48">
        <f t="shared" si="25"/>
        <v>0</v>
      </c>
      <c r="AD48">
        <f t="shared" si="26"/>
        <v>109</v>
      </c>
      <c r="AE48">
        <f t="shared" si="27"/>
        <v>225</v>
      </c>
      <c r="AF48">
        <f t="shared" si="28"/>
        <v>24</v>
      </c>
      <c r="AG48">
        <f t="shared" si="29"/>
        <v>-30.5</v>
      </c>
      <c r="AH48">
        <f t="shared" si="30"/>
        <v>-3</v>
      </c>
      <c r="AI48">
        <f t="shared" si="31"/>
        <v>0</v>
      </c>
      <c r="AJ48">
        <f t="shared" si="32"/>
        <v>0</v>
      </c>
      <c r="AK48">
        <f t="shared" si="33"/>
        <v>0</v>
      </c>
      <c r="AL48">
        <f t="shared" si="34"/>
        <v>18</v>
      </c>
      <c r="AM48">
        <f t="shared" si="35"/>
        <v>342.5</v>
      </c>
      <c r="AN48">
        <f t="shared" si="36"/>
        <v>360</v>
      </c>
      <c r="AO48" s="1">
        <f t="shared" si="37"/>
        <v>0.95138888888888884</v>
      </c>
    </row>
    <row r="49" spans="1:41" x14ac:dyDescent="0.25">
      <c r="A49" t="s">
        <v>1</v>
      </c>
      <c r="B49">
        <v>6</v>
      </c>
      <c r="C49">
        <v>268</v>
      </c>
      <c r="D49">
        <v>99</v>
      </c>
      <c r="E49">
        <v>3</v>
      </c>
      <c r="F49">
        <v>59</v>
      </c>
      <c r="G49">
        <v>3</v>
      </c>
      <c r="H49">
        <v>0</v>
      </c>
      <c r="I49">
        <v>0</v>
      </c>
      <c r="J49">
        <v>0</v>
      </c>
      <c r="K49">
        <v>128</v>
      </c>
      <c r="L49">
        <v>6</v>
      </c>
      <c r="M49">
        <v>1</v>
      </c>
      <c r="N49" t="s">
        <v>7</v>
      </c>
      <c r="O49">
        <v>1</v>
      </c>
      <c r="P49">
        <v>4</v>
      </c>
      <c r="Q49">
        <v>10</v>
      </c>
      <c r="R49">
        <v>24</v>
      </c>
      <c r="S49">
        <v>39</v>
      </c>
      <c r="T49">
        <v>50</v>
      </c>
      <c r="U49">
        <v>348.5</v>
      </c>
      <c r="V49">
        <v>6</v>
      </c>
      <c r="W49">
        <f t="shared" si="19"/>
        <v>154</v>
      </c>
      <c r="X49">
        <f t="shared" si="20"/>
        <v>50</v>
      </c>
      <c r="Y49">
        <f t="shared" si="21"/>
        <v>16</v>
      </c>
      <c r="Z49">
        <f t="shared" si="22"/>
        <v>7</v>
      </c>
      <c r="AA49">
        <f t="shared" si="23"/>
        <v>4</v>
      </c>
      <c r="AB49">
        <f t="shared" si="24"/>
        <v>2</v>
      </c>
      <c r="AC49">
        <f t="shared" si="25"/>
        <v>1</v>
      </c>
      <c r="AD49">
        <f t="shared" si="26"/>
        <v>134</v>
      </c>
      <c r="AE49">
        <f t="shared" si="27"/>
        <v>297</v>
      </c>
      <c r="AF49">
        <f t="shared" si="28"/>
        <v>24</v>
      </c>
      <c r="AG49">
        <f t="shared" si="29"/>
        <v>-29.5</v>
      </c>
      <c r="AH49">
        <f t="shared" si="30"/>
        <v>-3</v>
      </c>
      <c r="AI49">
        <f t="shared" si="31"/>
        <v>0</v>
      </c>
      <c r="AJ49">
        <f t="shared" si="32"/>
        <v>0</v>
      </c>
      <c r="AK49">
        <f t="shared" si="33"/>
        <v>0</v>
      </c>
      <c r="AL49">
        <f t="shared" si="34"/>
        <v>80</v>
      </c>
      <c r="AM49">
        <f t="shared" si="35"/>
        <v>502.5</v>
      </c>
      <c r="AN49">
        <f t="shared" si="36"/>
        <v>432</v>
      </c>
      <c r="AO49" s="1">
        <f t="shared" si="37"/>
        <v>1.1631944444444444</v>
      </c>
    </row>
    <row r="50" spans="1:41" x14ac:dyDescent="0.25">
      <c r="A50" t="s">
        <v>3</v>
      </c>
      <c r="B50">
        <v>6</v>
      </c>
      <c r="C50">
        <v>206</v>
      </c>
      <c r="D50">
        <v>68</v>
      </c>
      <c r="E50">
        <v>1</v>
      </c>
      <c r="F50">
        <v>47</v>
      </c>
      <c r="G50">
        <v>2</v>
      </c>
      <c r="H50">
        <v>0</v>
      </c>
      <c r="I50">
        <v>0</v>
      </c>
      <c r="J50">
        <v>0</v>
      </c>
      <c r="K50">
        <v>275</v>
      </c>
      <c r="L50">
        <v>7</v>
      </c>
      <c r="M50">
        <v>1</v>
      </c>
      <c r="N50" t="s">
        <v>6</v>
      </c>
      <c r="O50">
        <v>6</v>
      </c>
      <c r="P50">
        <v>19</v>
      </c>
      <c r="Q50">
        <v>52</v>
      </c>
      <c r="R50">
        <v>66</v>
      </c>
      <c r="S50">
        <v>66</v>
      </c>
      <c r="T50">
        <v>66</v>
      </c>
      <c r="U50">
        <v>366</v>
      </c>
      <c r="V50">
        <v>3</v>
      </c>
      <c r="W50">
        <f t="shared" si="19"/>
        <v>-59.5</v>
      </c>
      <c r="X50">
        <f t="shared" si="20"/>
        <v>12</v>
      </c>
      <c r="Y50">
        <f t="shared" si="21"/>
        <v>5</v>
      </c>
      <c r="Z50">
        <f t="shared" si="22"/>
        <v>0</v>
      </c>
      <c r="AA50">
        <f t="shared" si="23"/>
        <v>0</v>
      </c>
      <c r="AB50">
        <f t="shared" si="24"/>
        <v>0</v>
      </c>
      <c r="AC50">
        <f t="shared" si="25"/>
        <v>0</v>
      </c>
      <c r="AD50">
        <f t="shared" si="26"/>
        <v>103</v>
      </c>
      <c r="AE50">
        <f t="shared" si="27"/>
        <v>204</v>
      </c>
      <c r="AF50">
        <f t="shared" si="28"/>
        <v>8</v>
      </c>
      <c r="AG50">
        <f t="shared" si="29"/>
        <v>-23.5</v>
      </c>
      <c r="AH50">
        <f t="shared" si="30"/>
        <v>-2</v>
      </c>
      <c r="AI50">
        <f t="shared" si="31"/>
        <v>0</v>
      </c>
      <c r="AJ50">
        <f t="shared" si="32"/>
        <v>0</v>
      </c>
      <c r="AK50">
        <f t="shared" si="33"/>
        <v>0</v>
      </c>
      <c r="AL50">
        <f t="shared" si="34"/>
        <v>17</v>
      </c>
      <c r="AM50">
        <f t="shared" si="35"/>
        <v>306.5</v>
      </c>
      <c r="AN50">
        <f t="shared" si="36"/>
        <v>324</v>
      </c>
      <c r="AO50" s="1">
        <f t="shared" si="37"/>
        <v>0.94598765432098764</v>
      </c>
    </row>
    <row r="51" spans="1:41" x14ac:dyDescent="0.25">
      <c r="A51" t="s">
        <v>6</v>
      </c>
      <c r="B51">
        <v>5</v>
      </c>
      <c r="C51">
        <v>171</v>
      </c>
      <c r="D51">
        <v>66</v>
      </c>
      <c r="E51">
        <v>4</v>
      </c>
      <c r="F51">
        <v>42</v>
      </c>
      <c r="G51">
        <v>4</v>
      </c>
      <c r="H51">
        <v>0</v>
      </c>
      <c r="I51">
        <v>0</v>
      </c>
      <c r="J51">
        <v>1</v>
      </c>
      <c r="K51">
        <v>199</v>
      </c>
      <c r="L51">
        <v>7</v>
      </c>
      <c r="M51">
        <v>0</v>
      </c>
      <c r="N51" t="s">
        <v>0</v>
      </c>
      <c r="O51">
        <v>8</v>
      </c>
      <c r="P51">
        <v>13</v>
      </c>
      <c r="Q51">
        <v>46</v>
      </c>
      <c r="R51">
        <v>66</v>
      </c>
      <c r="S51">
        <v>66</v>
      </c>
      <c r="T51" t="s">
        <v>39</v>
      </c>
      <c r="U51">
        <v>366</v>
      </c>
      <c r="V51">
        <v>3</v>
      </c>
      <c r="W51">
        <f t="shared" si="19"/>
        <v>-60.5</v>
      </c>
      <c r="X51">
        <f t="shared" si="20"/>
        <v>9</v>
      </c>
      <c r="Y51">
        <f t="shared" si="21"/>
        <v>6</v>
      </c>
      <c r="Z51">
        <f t="shared" si="22"/>
        <v>1</v>
      </c>
      <c r="AA51">
        <f t="shared" si="23"/>
        <v>0</v>
      </c>
      <c r="AB51">
        <f t="shared" si="24"/>
        <v>0</v>
      </c>
      <c r="AC51">
        <f t="shared" si="25"/>
        <v>0</v>
      </c>
      <c r="AD51">
        <f t="shared" si="26"/>
        <v>85.5</v>
      </c>
      <c r="AE51">
        <f t="shared" si="27"/>
        <v>198</v>
      </c>
      <c r="AF51">
        <f t="shared" si="28"/>
        <v>32</v>
      </c>
      <c r="AG51">
        <f t="shared" si="29"/>
        <v>-21</v>
      </c>
      <c r="AH51">
        <f t="shared" si="30"/>
        <v>-4</v>
      </c>
      <c r="AI51">
        <f t="shared" si="31"/>
        <v>0</v>
      </c>
      <c r="AJ51">
        <f t="shared" si="32"/>
        <v>0</v>
      </c>
      <c r="AK51">
        <f t="shared" si="33"/>
        <v>-1</v>
      </c>
      <c r="AL51">
        <f t="shared" si="34"/>
        <v>16</v>
      </c>
      <c r="AM51">
        <f t="shared" si="35"/>
        <v>305.5</v>
      </c>
      <c r="AN51">
        <f t="shared" si="36"/>
        <v>288</v>
      </c>
      <c r="AO51" s="1">
        <f t="shared" si="37"/>
        <v>1.0607638888888888</v>
      </c>
    </row>
    <row r="52" spans="1:41" x14ac:dyDescent="0.25">
      <c r="A52" t="s">
        <v>5</v>
      </c>
      <c r="B52">
        <v>5</v>
      </c>
      <c r="C52">
        <v>155</v>
      </c>
      <c r="D52">
        <v>58</v>
      </c>
      <c r="E52">
        <v>0</v>
      </c>
      <c r="F52">
        <v>31</v>
      </c>
      <c r="G52">
        <v>6</v>
      </c>
      <c r="H52">
        <v>0</v>
      </c>
      <c r="I52">
        <v>0</v>
      </c>
      <c r="J52">
        <v>2</v>
      </c>
      <c r="K52">
        <v>261</v>
      </c>
      <c r="L52">
        <v>7</v>
      </c>
      <c r="M52">
        <v>0</v>
      </c>
      <c r="N52" t="s">
        <v>7</v>
      </c>
      <c r="O52">
        <v>3</v>
      </c>
      <c r="P52">
        <v>60</v>
      </c>
      <c r="Q52">
        <v>66</v>
      </c>
      <c r="R52">
        <v>66</v>
      </c>
      <c r="S52">
        <v>66</v>
      </c>
      <c r="T52" t="s">
        <v>39</v>
      </c>
      <c r="U52">
        <v>366</v>
      </c>
      <c r="V52">
        <v>2</v>
      </c>
      <c r="W52">
        <f t="shared" si="19"/>
        <v>-120</v>
      </c>
      <c r="X52">
        <f t="shared" si="20"/>
        <v>18</v>
      </c>
      <c r="Y52">
        <f t="shared" si="21"/>
        <v>0</v>
      </c>
      <c r="Z52">
        <f t="shared" si="22"/>
        <v>0</v>
      </c>
      <c r="AA52">
        <f t="shared" si="23"/>
        <v>0</v>
      </c>
      <c r="AB52">
        <f t="shared" si="24"/>
        <v>0</v>
      </c>
      <c r="AC52">
        <f t="shared" si="25"/>
        <v>0</v>
      </c>
      <c r="AD52">
        <f t="shared" si="26"/>
        <v>77.5</v>
      </c>
      <c r="AE52">
        <f t="shared" si="27"/>
        <v>174</v>
      </c>
      <c r="AF52">
        <f t="shared" si="28"/>
        <v>0</v>
      </c>
      <c r="AG52">
        <f t="shared" si="29"/>
        <v>-15.5</v>
      </c>
      <c r="AH52">
        <f t="shared" si="30"/>
        <v>-6</v>
      </c>
      <c r="AI52">
        <f t="shared" si="31"/>
        <v>0</v>
      </c>
      <c r="AJ52">
        <f t="shared" si="32"/>
        <v>0</v>
      </c>
      <c r="AK52">
        <f t="shared" si="33"/>
        <v>-2</v>
      </c>
      <c r="AL52">
        <f t="shared" si="34"/>
        <v>18</v>
      </c>
      <c r="AM52">
        <f t="shared" si="35"/>
        <v>246</v>
      </c>
      <c r="AN52">
        <f t="shared" si="36"/>
        <v>252</v>
      </c>
      <c r="AO52" s="1">
        <f t="shared" si="37"/>
        <v>0.97619047619047616</v>
      </c>
    </row>
    <row r="53" spans="1:41" x14ac:dyDescent="0.25">
      <c r="A53" t="s">
        <v>0</v>
      </c>
      <c r="B53">
        <v>6</v>
      </c>
      <c r="C53">
        <v>243</v>
      </c>
      <c r="D53">
        <v>96</v>
      </c>
      <c r="E53">
        <v>2</v>
      </c>
      <c r="F53">
        <v>47</v>
      </c>
      <c r="G53">
        <v>7</v>
      </c>
      <c r="H53">
        <v>0</v>
      </c>
      <c r="I53">
        <v>0</v>
      </c>
      <c r="J53">
        <v>1</v>
      </c>
      <c r="K53">
        <v>198</v>
      </c>
      <c r="L53">
        <v>7</v>
      </c>
      <c r="M53">
        <v>1</v>
      </c>
      <c r="N53" t="s">
        <v>2</v>
      </c>
      <c r="O53">
        <v>8</v>
      </c>
      <c r="P53">
        <v>19</v>
      </c>
      <c r="Q53">
        <v>24</v>
      </c>
      <c r="R53">
        <v>33</v>
      </c>
      <c r="S53">
        <v>48</v>
      </c>
      <c r="T53">
        <v>66</v>
      </c>
      <c r="U53">
        <v>366</v>
      </c>
      <c r="V53">
        <v>5</v>
      </c>
      <c r="W53">
        <f t="shared" si="19"/>
        <v>49</v>
      </c>
      <c r="X53">
        <f t="shared" si="20"/>
        <v>9</v>
      </c>
      <c r="Y53">
        <f t="shared" si="21"/>
        <v>5</v>
      </c>
      <c r="Z53">
        <f t="shared" si="22"/>
        <v>4</v>
      </c>
      <c r="AA53">
        <f t="shared" si="23"/>
        <v>2</v>
      </c>
      <c r="AB53">
        <f t="shared" si="24"/>
        <v>1</v>
      </c>
      <c r="AC53">
        <f t="shared" si="25"/>
        <v>0</v>
      </c>
      <c r="AD53">
        <f t="shared" si="26"/>
        <v>121.5</v>
      </c>
      <c r="AE53">
        <f t="shared" si="27"/>
        <v>288</v>
      </c>
      <c r="AF53">
        <f t="shared" si="28"/>
        <v>16</v>
      </c>
      <c r="AG53">
        <f t="shared" si="29"/>
        <v>-23.5</v>
      </c>
      <c r="AH53">
        <f t="shared" si="30"/>
        <v>-7</v>
      </c>
      <c r="AI53">
        <f t="shared" si="31"/>
        <v>0</v>
      </c>
      <c r="AJ53">
        <f t="shared" si="32"/>
        <v>0</v>
      </c>
      <c r="AK53">
        <f t="shared" si="33"/>
        <v>-1</v>
      </c>
      <c r="AL53">
        <f t="shared" si="34"/>
        <v>21</v>
      </c>
      <c r="AM53">
        <f t="shared" si="35"/>
        <v>415</v>
      </c>
      <c r="AN53">
        <f t="shared" si="36"/>
        <v>396</v>
      </c>
      <c r="AO53" s="1">
        <f t="shared" si="37"/>
        <v>1.047979797979798</v>
      </c>
    </row>
    <row r="54" spans="1:41" x14ac:dyDescent="0.25">
      <c r="A54" t="s">
        <v>7</v>
      </c>
      <c r="B54">
        <v>6</v>
      </c>
      <c r="C54">
        <v>232</v>
      </c>
      <c r="D54">
        <v>75</v>
      </c>
      <c r="E54">
        <v>5</v>
      </c>
      <c r="F54">
        <v>39</v>
      </c>
      <c r="G54">
        <v>9</v>
      </c>
      <c r="H54">
        <v>0</v>
      </c>
      <c r="I54">
        <v>0</v>
      </c>
      <c r="J54">
        <v>0</v>
      </c>
      <c r="K54">
        <v>253</v>
      </c>
      <c r="L54">
        <v>7</v>
      </c>
      <c r="M54">
        <v>1</v>
      </c>
      <c r="N54" t="s">
        <v>5</v>
      </c>
      <c r="O54">
        <v>13</v>
      </c>
      <c r="P54">
        <v>24</v>
      </c>
      <c r="Q54">
        <v>24</v>
      </c>
      <c r="R54">
        <v>60</v>
      </c>
      <c r="S54">
        <v>66</v>
      </c>
      <c r="T54">
        <v>66</v>
      </c>
      <c r="U54">
        <v>366</v>
      </c>
      <c r="V54">
        <v>4</v>
      </c>
      <c r="W54">
        <f t="shared" si="19"/>
        <v>0.5</v>
      </c>
      <c r="X54">
        <f t="shared" si="20"/>
        <v>6</v>
      </c>
      <c r="Y54">
        <f t="shared" si="21"/>
        <v>4</v>
      </c>
      <c r="Z54">
        <f t="shared" si="22"/>
        <v>4</v>
      </c>
      <c r="AA54">
        <f t="shared" si="23"/>
        <v>0</v>
      </c>
      <c r="AB54">
        <f t="shared" si="24"/>
        <v>0</v>
      </c>
      <c r="AC54">
        <f t="shared" si="25"/>
        <v>0</v>
      </c>
      <c r="AD54">
        <f t="shared" si="26"/>
        <v>116</v>
      </c>
      <c r="AE54">
        <f t="shared" si="27"/>
        <v>225</v>
      </c>
      <c r="AF54">
        <f t="shared" si="28"/>
        <v>40</v>
      </c>
      <c r="AG54">
        <f t="shared" si="29"/>
        <v>-19.5</v>
      </c>
      <c r="AH54">
        <f t="shared" si="30"/>
        <v>-9</v>
      </c>
      <c r="AI54">
        <f t="shared" si="31"/>
        <v>0</v>
      </c>
      <c r="AJ54">
        <f t="shared" si="32"/>
        <v>0</v>
      </c>
      <c r="AK54">
        <f t="shared" si="33"/>
        <v>0</v>
      </c>
      <c r="AL54">
        <f t="shared" si="34"/>
        <v>14</v>
      </c>
      <c r="AM54">
        <f t="shared" si="35"/>
        <v>366.5</v>
      </c>
      <c r="AN54">
        <f t="shared" si="36"/>
        <v>360</v>
      </c>
      <c r="AO54" s="1">
        <f t="shared" si="37"/>
        <v>1.0180555555555555</v>
      </c>
    </row>
    <row r="55" spans="1:41" x14ac:dyDescent="0.25">
      <c r="A55" t="s">
        <v>2</v>
      </c>
      <c r="B55">
        <v>6</v>
      </c>
      <c r="C55">
        <v>198</v>
      </c>
      <c r="D55">
        <v>79</v>
      </c>
      <c r="E55">
        <v>3</v>
      </c>
      <c r="F55">
        <v>37</v>
      </c>
      <c r="G55">
        <v>7</v>
      </c>
      <c r="H55">
        <v>0</v>
      </c>
      <c r="I55">
        <v>0</v>
      </c>
      <c r="J55">
        <v>0</v>
      </c>
      <c r="K55">
        <v>233</v>
      </c>
      <c r="L55">
        <v>7</v>
      </c>
      <c r="M55">
        <v>0</v>
      </c>
      <c r="N55" t="s">
        <v>0</v>
      </c>
      <c r="O55">
        <v>3</v>
      </c>
      <c r="P55">
        <v>8</v>
      </c>
      <c r="Q55">
        <v>24</v>
      </c>
      <c r="R55">
        <v>66</v>
      </c>
      <c r="S55">
        <v>66</v>
      </c>
      <c r="T55">
        <v>66</v>
      </c>
      <c r="U55">
        <v>366</v>
      </c>
      <c r="V55">
        <v>3</v>
      </c>
      <c r="W55">
        <f t="shared" si="19"/>
        <v>-0.5</v>
      </c>
      <c r="X55">
        <f t="shared" si="20"/>
        <v>18</v>
      </c>
      <c r="Y55">
        <f t="shared" si="21"/>
        <v>9</v>
      </c>
      <c r="Z55">
        <f t="shared" si="22"/>
        <v>4</v>
      </c>
      <c r="AA55">
        <f t="shared" si="23"/>
        <v>0</v>
      </c>
      <c r="AB55">
        <f t="shared" si="24"/>
        <v>0</v>
      </c>
      <c r="AC55">
        <f t="shared" si="25"/>
        <v>0</v>
      </c>
      <c r="AD55">
        <f t="shared" si="26"/>
        <v>99</v>
      </c>
      <c r="AE55">
        <f t="shared" si="27"/>
        <v>237</v>
      </c>
      <c r="AF55">
        <f t="shared" si="28"/>
        <v>24</v>
      </c>
      <c r="AG55">
        <f t="shared" si="29"/>
        <v>-18.5</v>
      </c>
      <c r="AH55">
        <f t="shared" si="30"/>
        <v>-7</v>
      </c>
      <c r="AI55">
        <f t="shared" si="31"/>
        <v>0</v>
      </c>
      <c r="AJ55">
        <f t="shared" si="32"/>
        <v>0</v>
      </c>
      <c r="AK55">
        <f t="shared" si="33"/>
        <v>0</v>
      </c>
      <c r="AL55">
        <f t="shared" si="34"/>
        <v>31</v>
      </c>
      <c r="AM55">
        <f t="shared" si="35"/>
        <v>365.5</v>
      </c>
      <c r="AN55">
        <f t="shared" si="36"/>
        <v>324</v>
      </c>
      <c r="AO55" s="1">
        <f t="shared" si="37"/>
        <v>1.1280864197530864</v>
      </c>
    </row>
    <row r="56" spans="1:41" x14ac:dyDescent="0.25">
      <c r="A56" t="s">
        <v>4</v>
      </c>
      <c r="B56">
        <v>6</v>
      </c>
      <c r="C56">
        <v>215</v>
      </c>
      <c r="D56">
        <v>88</v>
      </c>
      <c r="E56">
        <v>2</v>
      </c>
      <c r="F56">
        <v>48</v>
      </c>
      <c r="G56">
        <v>5</v>
      </c>
      <c r="H56">
        <v>0</v>
      </c>
      <c r="I56">
        <v>0</v>
      </c>
      <c r="J56">
        <v>2</v>
      </c>
      <c r="K56">
        <v>269</v>
      </c>
      <c r="L56">
        <v>7</v>
      </c>
      <c r="M56">
        <v>0</v>
      </c>
      <c r="N56" t="s">
        <v>1</v>
      </c>
      <c r="O56">
        <v>13</v>
      </c>
      <c r="P56">
        <v>24</v>
      </c>
      <c r="Q56">
        <v>48</v>
      </c>
      <c r="R56">
        <v>52</v>
      </c>
      <c r="S56">
        <v>66</v>
      </c>
      <c r="T56">
        <v>66</v>
      </c>
      <c r="U56">
        <v>366</v>
      </c>
      <c r="V56">
        <v>4</v>
      </c>
      <c r="W56">
        <f t="shared" si="19"/>
        <v>1.5</v>
      </c>
      <c r="X56">
        <f t="shared" si="20"/>
        <v>6</v>
      </c>
      <c r="Y56">
        <f t="shared" si="21"/>
        <v>4</v>
      </c>
      <c r="Z56">
        <f t="shared" si="22"/>
        <v>1</v>
      </c>
      <c r="AA56">
        <f t="shared" si="23"/>
        <v>0</v>
      </c>
      <c r="AB56">
        <f t="shared" si="24"/>
        <v>0</v>
      </c>
      <c r="AC56">
        <f t="shared" si="25"/>
        <v>0</v>
      </c>
      <c r="AD56">
        <f t="shared" si="26"/>
        <v>107.5</v>
      </c>
      <c r="AE56">
        <f t="shared" si="27"/>
        <v>264</v>
      </c>
      <c r="AF56">
        <f t="shared" si="28"/>
        <v>16</v>
      </c>
      <c r="AG56">
        <f t="shared" si="29"/>
        <v>-24</v>
      </c>
      <c r="AH56">
        <f t="shared" si="30"/>
        <v>-5</v>
      </c>
      <c r="AI56">
        <f t="shared" si="31"/>
        <v>0</v>
      </c>
      <c r="AJ56">
        <f t="shared" si="32"/>
        <v>0</v>
      </c>
      <c r="AK56">
        <f t="shared" si="33"/>
        <v>-2</v>
      </c>
      <c r="AL56">
        <f t="shared" si="34"/>
        <v>11</v>
      </c>
      <c r="AM56">
        <f t="shared" si="35"/>
        <v>367.5</v>
      </c>
      <c r="AN56">
        <f t="shared" si="36"/>
        <v>360</v>
      </c>
      <c r="AO56" s="1">
        <f t="shared" si="37"/>
        <v>1.0208333333333333</v>
      </c>
    </row>
    <row r="57" spans="1:41" x14ac:dyDescent="0.25">
      <c r="A57" t="s">
        <v>1</v>
      </c>
      <c r="B57">
        <v>6</v>
      </c>
      <c r="C57">
        <v>193</v>
      </c>
      <c r="D57">
        <v>80</v>
      </c>
      <c r="E57">
        <v>2</v>
      </c>
      <c r="F57">
        <v>46</v>
      </c>
      <c r="G57">
        <v>3</v>
      </c>
      <c r="H57">
        <v>0</v>
      </c>
      <c r="I57">
        <v>0</v>
      </c>
      <c r="J57">
        <v>0</v>
      </c>
      <c r="K57">
        <v>270</v>
      </c>
      <c r="L57">
        <v>7</v>
      </c>
      <c r="M57">
        <v>1</v>
      </c>
      <c r="N57" t="s">
        <v>4</v>
      </c>
      <c r="O57">
        <v>1</v>
      </c>
      <c r="P57">
        <v>33</v>
      </c>
      <c r="Q57">
        <v>38</v>
      </c>
      <c r="R57">
        <v>66</v>
      </c>
      <c r="S57">
        <v>66</v>
      </c>
      <c r="T57">
        <v>66</v>
      </c>
      <c r="U57">
        <v>366</v>
      </c>
      <c r="V57">
        <v>3</v>
      </c>
      <c r="W57">
        <f t="shared" si="19"/>
        <v>14.5</v>
      </c>
      <c r="X57">
        <f t="shared" si="20"/>
        <v>50</v>
      </c>
      <c r="Y57">
        <f t="shared" si="21"/>
        <v>2</v>
      </c>
      <c r="Z57">
        <f t="shared" si="22"/>
        <v>2</v>
      </c>
      <c r="AA57">
        <f t="shared" si="23"/>
        <v>0</v>
      </c>
      <c r="AB57">
        <f t="shared" si="24"/>
        <v>0</v>
      </c>
      <c r="AC57">
        <f t="shared" si="25"/>
        <v>0</v>
      </c>
      <c r="AD57">
        <f t="shared" si="26"/>
        <v>96.5</v>
      </c>
      <c r="AE57">
        <f t="shared" si="27"/>
        <v>240</v>
      </c>
      <c r="AF57">
        <f t="shared" si="28"/>
        <v>16</v>
      </c>
      <c r="AG57">
        <f t="shared" si="29"/>
        <v>-23</v>
      </c>
      <c r="AH57">
        <f t="shared" si="30"/>
        <v>-3</v>
      </c>
      <c r="AI57">
        <f t="shared" si="31"/>
        <v>0</v>
      </c>
      <c r="AJ57">
        <f t="shared" si="32"/>
        <v>0</v>
      </c>
      <c r="AK57">
        <f t="shared" si="33"/>
        <v>0</v>
      </c>
      <c r="AL57">
        <f t="shared" si="34"/>
        <v>54</v>
      </c>
      <c r="AM57">
        <f t="shared" si="35"/>
        <v>380.5</v>
      </c>
      <c r="AN57">
        <f t="shared" si="36"/>
        <v>324</v>
      </c>
      <c r="AO57" s="1">
        <f t="shared" si="37"/>
        <v>1.1743827160493827</v>
      </c>
    </row>
    <row r="58" spans="1:41" x14ac:dyDescent="0.25">
      <c r="A58" t="s">
        <v>3</v>
      </c>
      <c r="B58">
        <v>6</v>
      </c>
      <c r="C58">
        <v>183</v>
      </c>
      <c r="D58">
        <v>52</v>
      </c>
      <c r="E58">
        <v>1</v>
      </c>
      <c r="F58">
        <v>43</v>
      </c>
      <c r="G58">
        <v>6</v>
      </c>
      <c r="H58">
        <v>0</v>
      </c>
      <c r="I58">
        <v>0</v>
      </c>
      <c r="J58">
        <v>3</v>
      </c>
      <c r="K58">
        <v>364</v>
      </c>
      <c r="L58">
        <v>8</v>
      </c>
      <c r="M58">
        <v>0</v>
      </c>
      <c r="N58" t="s">
        <v>0</v>
      </c>
      <c r="O58">
        <v>28</v>
      </c>
      <c r="P58">
        <v>60</v>
      </c>
      <c r="Q58">
        <v>69</v>
      </c>
      <c r="R58">
        <v>69</v>
      </c>
      <c r="S58">
        <v>69</v>
      </c>
      <c r="T58">
        <v>69</v>
      </c>
      <c r="U58">
        <v>356</v>
      </c>
      <c r="V58">
        <v>2</v>
      </c>
      <c r="W58">
        <f t="shared" si="19"/>
        <v>-128</v>
      </c>
      <c r="X58">
        <f t="shared" si="20"/>
        <v>3</v>
      </c>
      <c r="Y58">
        <f t="shared" si="21"/>
        <v>0</v>
      </c>
      <c r="Z58">
        <f t="shared" si="22"/>
        <v>0</v>
      </c>
      <c r="AA58">
        <f t="shared" si="23"/>
        <v>0</v>
      </c>
      <c r="AB58">
        <f t="shared" si="24"/>
        <v>0</v>
      </c>
      <c r="AC58">
        <f t="shared" si="25"/>
        <v>0</v>
      </c>
      <c r="AD58">
        <f t="shared" si="26"/>
        <v>91.5</v>
      </c>
      <c r="AE58">
        <f t="shared" si="27"/>
        <v>156</v>
      </c>
      <c r="AF58">
        <f t="shared" si="28"/>
        <v>8</v>
      </c>
      <c r="AG58">
        <f t="shared" si="29"/>
        <v>-21.5</v>
      </c>
      <c r="AH58">
        <f t="shared" si="30"/>
        <v>-6</v>
      </c>
      <c r="AI58">
        <f t="shared" si="31"/>
        <v>0</v>
      </c>
      <c r="AJ58">
        <f t="shared" si="32"/>
        <v>0</v>
      </c>
      <c r="AK58">
        <f t="shared" si="33"/>
        <v>-3</v>
      </c>
      <c r="AL58">
        <f t="shared" si="34"/>
        <v>3</v>
      </c>
      <c r="AM58">
        <f t="shared" si="35"/>
        <v>228</v>
      </c>
      <c r="AN58">
        <f t="shared" si="36"/>
        <v>288</v>
      </c>
      <c r="AO58" s="1">
        <f t="shared" si="37"/>
        <v>0.79166666666666663</v>
      </c>
    </row>
    <row r="59" spans="1:41" x14ac:dyDescent="0.25">
      <c r="A59" t="s">
        <v>6</v>
      </c>
      <c r="B59">
        <v>6</v>
      </c>
      <c r="C59">
        <v>195</v>
      </c>
      <c r="D59">
        <v>76</v>
      </c>
      <c r="E59">
        <v>2</v>
      </c>
      <c r="F59">
        <v>46</v>
      </c>
      <c r="G59">
        <v>4</v>
      </c>
      <c r="H59">
        <v>0</v>
      </c>
      <c r="I59">
        <v>0</v>
      </c>
      <c r="J59">
        <v>1</v>
      </c>
      <c r="K59">
        <v>280</v>
      </c>
      <c r="L59">
        <v>8</v>
      </c>
      <c r="M59">
        <v>1</v>
      </c>
      <c r="N59" t="s">
        <v>5</v>
      </c>
      <c r="O59">
        <v>2</v>
      </c>
      <c r="P59">
        <v>4</v>
      </c>
      <c r="Q59">
        <v>67</v>
      </c>
      <c r="R59">
        <v>69</v>
      </c>
      <c r="S59">
        <v>69</v>
      </c>
      <c r="T59">
        <v>69</v>
      </c>
      <c r="U59">
        <v>356</v>
      </c>
      <c r="V59">
        <v>3</v>
      </c>
      <c r="W59">
        <f t="shared" si="19"/>
        <v>-1.5</v>
      </c>
      <c r="X59">
        <f t="shared" si="20"/>
        <v>25</v>
      </c>
      <c r="Y59">
        <f t="shared" si="21"/>
        <v>16</v>
      </c>
      <c r="Z59">
        <f t="shared" si="22"/>
        <v>0</v>
      </c>
      <c r="AA59">
        <f t="shared" si="23"/>
        <v>0</v>
      </c>
      <c r="AB59">
        <f t="shared" si="24"/>
        <v>0</v>
      </c>
      <c r="AC59">
        <f t="shared" si="25"/>
        <v>0</v>
      </c>
      <c r="AD59">
        <f t="shared" si="26"/>
        <v>97.5</v>
      </c>
      <c r="AE59">
        <f t="shared" si="27"/>
        <v>228</v>
      </c>
      <c r="AF59">
        <f t="shared" si="28"/>
        <v>16</v>
      </c>
      <c r="AG59">
        <f t="shared" si="29"/>
        <v>-23</v>
      </c>
      <c r="AH59">
        <f t="shared" si="30"/>
        <v>-4</v>
      </c>
      <c r="AI59">
        <f t="shared" si="31"/>
        <v>0</v>
      </c>
      <c r="AJ59">
        <f t="shared" si="32"/>
        <v>0</v>
      </c>
      <c r="AK59">
        <f t="shared" si="33"/>
        <v>-1</v>
      </c>
      <c r="AL59">
        <f t="shared" si="34"/>
        <v>41</v>
      </c>
      <c r="AM59">
        <f t="shared" si="35"/>
        <v>354.5</v>
      </c>
      <c r="AN59">
        <f t="shared" si="36"/>
        <v>324</v>
      </c>
      <c r="AO59" s="1">
        <f t="shared" si="37"/>
        <v>1.0941358024691359</v>
      </c>
    </row>
    <row r="60" spans="1:41" x14ac:dyDescent="0.25">
      <c r="A60" t="s">
        <v>5</v>
      </c>
      <c r="B60">
        <v>6</v>
      </c>
      <c r="C60">
        <v>196</v>
      </c>
      <c r="D60">
        <v>76</v>
      </c>
      <c r="E60">
        <v>1</v>
      </c>
      <c r="F60">
        <v>42</v>
      </c>
      <c r="G60">
        <v>6</v>
      </c>
      <c r="H60">
        <v>0</v>
      </c>
      <c r="I60">
        <v>0</v>
      </c>
      <c r="J60">
        <v>3</v>
      </c>
      <c r="K60">
        <v>340</v>
      </c>
      <c r="L60">
        <v>8</v>
      </c>
      <c r="M60">
        <v>0</v>
      </c>
      <c r="N60" t="s">
        <v>6</v>
      </c>
      <c r="O60">
        <v>28</v>
      </c>
      <c r="P60">
        <v>41</v>
      </c>
      <c r="Q60">
        <v>64</v>
      </c>
      <c r="R60">
        <v>69</v>
      </c>
      <c r="S60">
        <v>69</v>
      </c>
      <c r="T60">
        <v>69</v>
      </c>
      <c r="U60">
        <v>356</v>
      </c>
      <c r="V60">
        <v>3</v>
      </c>
      <c r="W60">
        <f t="shared" si="19"/>
        <v>-48</v>
      </c>
      <c r="X60">
        <f t="shared" si="20"/>
        <v>3</v>
      </c>
      <c r="Y60">
        <f t="shared" si="21"/>
        <v>1</v>
      </c>
      <c r="Z60">
        <f t="shared" si="22"/>
        <v>0</v>
      </c>
      <c r="AA60">
        <f t="shared" si="23"/>
        <v>0</v>
      </c>
      <c r="AB60">
        <f t="shared" si="24"/>
        <v>0</v>
      </c>
      <c r="AC60">
        <f t="shared" si="25"/>
        <v>0</v>
      </c>
      <c r="AD60">
        <f t="shared" si="26"/>
        <v>98</v>
      </c>
      <c r="AE60">
        <f t="shared" si="27"/>
        <v>228</v>
      </c>
      <c r="AF60">
        <f t="shared" si="28"/>
        <v>8</v>
      </c>
      <c r="AG60">
        <f t="shared" si="29"/>
        <v>-21</v>
      </c>
      <c r="AH60">
        <f t="shared" si="30"/>
        <v>-6</v>
      </c>
      <c r="AI60">
        <f t="shared" si="31"/>
        <v>0</v>
      </c>
      <c r="AJ60">
        <f t="shared" si="32"/>
        <v>0</v>
      </c>
      <c r="AK60">
        <f t="shared" si="33"/>
        <v>-3</v>
      </c>
      <c r="AL60">
        <f t="shared" si="34"/>
        <v>4</v>
      </c>
      <c r="AM60">
        <f t="shared" si="35"/>
        <v>308</v>
      </c>
      <c r="AN60">
        <f t="shared" si="36"/>
        <v>324</v>
      </c>
      <c r="AO60" s="1">
        <f t="shared" si="37"/>
        <v>0.95061728395061729</v>
      </c>
    </row>
    <row r="61" spans="1:41" x14ac:dyDescent="0.25">
      <c r="A61" t="s">
        <v>0</v>
      </c>
      <c r="B61">
        <v>6</v>
      </c>
      <c r="C61">
        <v>197</v>
      </c>
      <c r="D61">
        <v>76</v>
      </c>
      <c r="E61">
        <v>4</v>
      </c>
      <c r="F61">
        <v>41</v>
      </c>
      <c r="G61">
        <v>6</v>
      </c>
      <c r="H61">
        <v>0</v>
      </c>
      <c r="I61">
        <v>0</v>
      </c>
      <c r="J61">
        <v>0</v>
      </c>
      <c r="K61">
        <v>281</v>
      </c>
      <c r="L61">
        <v>8</v>
      </c>
      <c r="M61">
        <v>1</v>
      </c>
      <c r="N61" t="s">
        <v>3</v>
      </c>
      <c r="O61">
        <v>9</v>
      </c>
      <c r="P61">
        <v>9</v>
      </c>
      <c r="Q61">
        <v>56</v>
      </c>
      <c r="R61">
        <v>69</v>
      </c>
      <c r="S61">
        <v>69</v>
      </c>
      <c r="T61">
        <v>69</v>
      </c>
      <c r="U61">
        <v>356</v>
      </c>
      <c r="V61">
        <v>3</v>
      </c>
      <c r="W61">
        <f t="shared" si="19"/>
        <v>-12</v>
      </c>
      <c r="X61">
        <f t="shared" si="20"/>
        <v>6</v>
      </c>
      <c r="Y61">
        <f t="shared" si="21"/>
        <v>6</v>
      </c>
      <c r="Z61">
        <f t="shared" si="22"/>
        <v>0</v>
      </c>
      <c r="AA61">
        <f t="shared" si="23"/>
        <v>0</v>
      </c>
      <c r="AB61">
        <f t="shared" si="24"/>
        <v>0</v>
      </c>
      <c r="AC61">
        <f t="shared" si="25"/>
        <v>0</v>
      </c>
      <c r="AD61">
        <f t="shared" si="26"/>
        <v>98.5</v>
      </c>
      <c r="AE61">
        <f t="shared" si="27"/>
        <v>228</v>
      </c>
      <c r="AF61">
        <f t="shared" si="28"/>
        <v>32</v>
      </c>
      <c r="AG61">
        <f t="shared" si="29"/>
        <v>-20.5</v>
      </c>
      <c r="AH61">
        <f t="shared" si="30"/>
        <v>-6</v>
      </c>
      <c r="AI61">
        <f t="shared" si="31"/>
        <v>0</v>
      </c>
      <c r="AJ61">
        <f t="shared" si="32"/>
        <v>0</v>
      </c>
      <c r="AK61">
        <f t="shared" si="33"/>
        <v>0</v>
      </c>
      <c r="AL61">
        <f t="shared" si="34"/>
        <v>12</v>
      </c>
      <c r="AM61">
        <f t="shared" si="35"/>
        <v>344</v>
      </c>
      <c r="AN61">
        <f t="shared" si="36"/>
        <v>324</v>
      </c>
      <c r="AO61" s="1">
        <f t="shared" si="37"/>
        <v>1.0617283950617284</v>
      </c>
    </row>
    <row r="62" spans="1:41" x14ac:dyDescent="0.25">
      <c r="A62" t="s">
        <v>7</v>
      </c>
      <c r="B62">
        <v>6</v>
      </c>
      <c r="C62">
        <v>283</v>
      </c>
      <c r="D62">
        <v>95</v>
      </c>
      <c r="E62">
        <v>4</v>
      </c>
      <c r="F62">
        <v>44</v>
      </c>
      <c r="G62">
        <v>5</v>
      </c>
      <c r="H62">
        <v>0</v>
      </c>
      <c r="I62">
        <v>1</v>
      </c>
      <c r="J62">
        <v>1</v>
      </c>
      <c r="K62">
        <v>218</v>
      </c>
      <c r="L62">
        <v>8</v>
      </c>
      <c r="M62">
        <v>1</v>
      </c>
      <c r="N62" t="s">
        <v>4</v>
      </c>
      <c r="O62">
        <v>21</v>
      </c>
      <c r="P62">
        <v>21</v>
      </c>
      <c r="Q62">
        <v>35</v>
      </c>
      <c r="R62">
        <v>41</v>
      </c>
      <c r="S62">
        <v>47</v>
      </c>
      <c r="T62">
        <v>53</v>
      </c>
      <c r="U62">
        <v>356</v>
      </c>
      <c r="V62">
        <v>6</v>
      </c>
      <c r="W62">
        <f t="shared" si="19"/>
        <v>91.5</v>
      </c>
      <c r="X62">
        <f t="shared" si="20"/>
        <v>4</v>
      </c>
      <c r="Y62">
        <f t="shared" si="21"/>
        <v>4</v>
      </c>
      <c r="Z62">
        <f t="shared" si="22"/>
        <v>2</v>
      </c>
      <c r="AA62">
        <f t="shared" si="23"/>
        <v>1</v>
      </c>
      <c r="AB62">
        <f t="shared" si="24"/>
        <v>1</v>
      </c>
      <c r="AC62">
        <f t="shared" si="25"/>
        <v>0</v>
      </c>
      <c r="AD62">
        <f t="shared" si="26"/>
        <v>141.5</v>
      </c>
      <c r="AE62">
        <f t="shared" si="27"/>
        <v>285</v>
      </c>
      <c r="AF62">
        <f t="shared" si="28"/>
        <v>32</v>
      </c>
      <c r="AG62">
        <f t="shared" si="29"/>
        <v>-22</v>
      </c>
      <c r="AH62">
        <f t="shared" si="30"/>
        <v>-5</v>
      </c>
      <c r="AI62">
        <f t="shared" si="31"/>
        <v>0</v>
      </c>
      <c r="AJ62">
        <f t="shared" si="32"/>
        <v>5</v>
      </c>
      <c r="AK62">
        <f t="shared" si="33"/>
        <v>-1</v>
      </c>
      <c r="AL62">
        <f t="shared" si="34"/>
        <v>12</v>
      </c>
      <c r="AM62">
        <f t="shared" si="35"/>
        <v>447.5</v>
      </c>
      <c r="AN62">
        <f t="shared" si="36"/>
        <v>432</v>
      </c>
      <c r="AO62" s="1">
        <f t="shared" si="37"/>
        <v>1.0358796296296295</v>
      </c>
    </row>
    <row r="63" spans="1:41" x14ac:dyDescent="0.25">
      <c r="A63" t="s">
        <v>2</v>
      </c>
      <c r="B63">
        <v>6</v>
      </c>
      <c r="C63">
        <v>226</v>
      </c>
      <c r="D63">
        <v>87</v>
      </c>
      <c r="E63">
        <v>0</v>
      </c>
      <c r="F63">
        <v>38</v>
      </c>
      <c r="G63">
        <v>8</v>
      </c>
      <c r="H63">
        <v>0</v>
      </c>
      <c r="I63">
        <v>0</v>
      </c>
      <c r="J63">
        <v>1</v>
      </c>
      <c r="K63">
        <v>250</v>
      </c>
      <c r="L63">
        <v>8</v>
      </c>
      <c r="M63">
        <v>0</v>
      </c>
      <c r="N63" t="s">
        <v>1</v>
      </c>
      <c r="O63">
        <v>21</v>
      </c>
      <c r="P63">
        <v>28</v>
      </c>
      <c r="Q63">
        <v>28</v>
      </c>
      <c r="R63">
        <v>35</v>
      </c>
      <c r="S63">
        <v>69</v>
      </c>
      <c r="T63">
        <v>69</v>
      </c>
      <c r="U63">
        <v>356</v>
      </c>
      <c r="V63">
        <v>4</v>
      </c>
      <c r="W63">
        <f t="shared" si="19"/>
        <v>2</v>
      </c>
      <c r="X63">
        <f t="shared" si="20"/>
        <v>4</v>
      </c>
      <c r="Y63">
        <f t="shared" si="21"/>
        <v>3</v>
      </c>
      <c r="Z63">
        <f t="shared" si="22"/>
        <v>3</v>
      </c>
      <c r="AA63">
        <f t="shared" si="23"/>
        <v>2</v>
      </c>
      <c r="AB63">
        <f t="shared" si="24"/>
        <v>0</v>
      </c>
      <c r="AC63">
        <f t="shared" si="25"/>
        <v>0</v>
      </c>
      <c r="AD63">
        <f t="shared" si="26"/>
        <v>113</v>
      </c>
      <c r="AE63">
        <f t="shared" si="27"/>
        <v>261</v>
      </c>
      <c r="AF63">
        <f t="shared" si="28"/>
        <v>0</v>
      </c>
      <c r="AG63">
        <f t="shared" si="29"/>
        <v>-19</v>
      </c>
      <c r="AH63">
        <f t="shared" si="30"/>
        <v>-8</v>
      </c>
      <c r="AI63">
        <f t="shared" si="31"/>
        <v>0</v>
      </c>
      <c r="AJ63">
        <f t="shared" si="32"/>
        <v>0</v>
      </c>
      <c r="AK63">
        <f t="shared" si="33"/>
        <v>-1</v>
      </c>
      <c r="AL63">
        <f t="shared" si="34"/>
        <v>12</v>
      </c>
      <c r="AM63">
        <f t="shared" si="35"/>
        <v>358</v>
      </c>
      <c r="AN63">
        <f t="shared" si="36"/>
        <v>360</v>
      </c>
      <c r="AO63" s="1">
        <f t="shared" si="37"/>
        <v>0.99444444444444446</v>
      </c>
    </row>
    <row r="64" spans="1:41" x14ac:dyDescent="0.25">
      <c r="A64" t="s">
        <v>4</v>
      </c>
      <c r="B64">
        <v>6</v>
      </c>
      <c r="C64">
        <v>284</v>
      </c>
      <c r="D64">
        <v>90</v>
      </c>
      <c r="E64">
        <v>4</v>
      </c>
      <c r="F64">
        <v>39</v>
      </c>
      <c r="G64">
        <v>12</v>
      </c>
      <c r="H64">
        <v>0</v>
      </c>
      <c r="I64">
        <v>0</v>
      </c>
      <c r="J64">
        <v>3</v>
      </c>
      <c r="K64">
        <v>301</v>
      </c>
      <c r="L64">
        <v>8</v>
      </c>
      <c r="M64">
        <v>0</v>
      </c>
      <c r="N64" t="s">
        <v>7</v>
      </c>
      <c r="O64">
        <v>21</v>
      </c>
      <c r="P64">
        <v>41</v>
      </c>
      <c r="Q64">
        <v>47</v>
      </c>
      <c r="R64">
        <v>62</v>
      </c>
      <c r="S64">
        <v>64</v>
      </c>
      <c r="T64">
        <v>66</v>
      </c>
      <c r="U64">
        <v>356</v>
      </c>
      <c r="V64">
        <v>6</v>
      </c>
      <c r="W64">
        <f t="shared" si="19"/>
        <v>59.5</v>
      </c>
      <c r="X64">
        <f t="shared" si="20"/>
        <v>4</v>
      </c>
      <c r="Y64">
        <f t="shared" si="21"/>
        <v>1</v>
      </c>
      <c r="Z64">
        <f t="shared" si="22"/>
        <v>1</v>
      </c>
      <c r="AA64">
        <f t="shared" si="23"/>
        <v>0</v>
      </c>
      <c r="AB64">
        <f t="shared" si="24"/>
        <v>0</v>
      </c>
      <c r="AC64">
        <f t="shared" si="25"/>
        <v>0</v>
      </c>
      <c r="AD64">
        <f t="shared" si="26"/>
        <v>142</v>
      </c>
      <c r="AE64">
        <f t="shared" si="27"/>
        <v>270</v>
      </c>
      <c r="AF64">
        <f t="shared" si="28"/>
        <v>32</v>
      </c>
      <c r="AG64">
        <f t="shared" si="29"/>
        <v>-19.5</v>
      </c>
      <c r="AH64">
        <f t="shared" si="30"/>
        <v>-12</v>
      </c>
      <c r="AI64">
        <f t="shared" si="31"/>
        <v>0</v>
      </c>
      <c r="AJ64">
        <f t="shared" si="32"/>
        <v>0</v>
      </c>
      <c r="AK64">
        <f t="shared" si="33"/>
        <v>-3</v>
      </c>
      <c r="AL64">
        <f t="shared" si="34"/>
        <v>6</v>
      </c>
      <c r="AM64">
        <f t="shared" si="35"/>
        <v>415.5</v>
      </c>
      <c r="AN64">
        <f t="shared" si="36"/>
        <v>432</v>
      </c>
      <c r="AO64" s="1">
        <f t="shared" si="37"/>
        <v>0.96180555555555558</v>
      </c>
    </row>
    <row r="65" spans="1:41" x14ac:dyDescent="0.25">
      <c r="A65" t="s">
        <v>1</v>
      </c>
      <c r="B65">
        <v>6</v>
      </c>
      <c r="C65">
        <v>225</v>
      </c>
      <c r="D65">
        <v>86</v>
      </c>
      <c r="E65">
        <v>5</v>
      </c>
      <c r="F65">
        <v>40</v>
      </c>
      <c r="G65">
        <v>4</v>
      </c>
      <c r="H65">
        <v>0</v>
      </c>
      <c r="I65">
        <v>0</v>
      </c>
      <c r="J65">
        <v>0</v>
      </c>
      <c r="K65">
        <v>189</v>
      </c>
      <c r="L65">
        <v>8</v>
      </c>
      <c r="M65">
        <v>1</v>
      </c>
      <c r="N65" t="s">
        <v>2</v>
      </c>
      <c r="O65">
        <v>2</v>
      </c>
      <c r="P65">
        <v>4</v>
      </c>
      <c r="Q65">
        <v>4</v>
      </c>
      <c r="R65">
        <v>41</v>
      </c>
      <c r="S65">
        <v>69</v>
      </c>
      <c r="T65">
        <v>69</v>
      </c>
      <c r="U65">
        <v>356</v>
      </c>
      <c r="V65">
        <v>4</v>
      </c>
      <c r="W65">
        <f t="shared" si="19"/>
        <v>88.5</v>
      </c>
      <c r="X65">
        <f t="shared" si="20"/>
        <v>25</v>
      </c>
      <c r="Y65">
        <f t="shared" si="21"/>
        <v>16</v>
      </c>
      <c r="Z65">
        <f t="shared" si="22"/>
        <v>16</v>
      </c>
      <c r="AA65">
        <f t="shared" si="23"/>
        <v>1</v>
      </c>
      <c r="AB65">
        <f t="shared" si="24"/>
        <v>0</v>
      </c>
      <c r="AC65">
        <f t="shared" si="25"/>
        <v>0</v>
      </c>
      <c r="AD65">
        <f t="shared" si="26"/>
        <v>112.5</v>
      </c>
      <c r="AE65">
        <f t="shared" si="27"/>
        <v>258</v>
      </c>
      <c r="AF65">
        <f t="shared" si="28"/>
        <v>40</v>
      </c>
      <c r="AG65">
        <f t="shared" si="29"/>
        <v>-20</v>
      </c>
      <c r="AH65">
        <f t="shared" si="30"/>
        <v>-4</v>
      </c>
      <c r="AI65">
        <f t="shared" si="31"/>
        <v>0</v>
      </c>
      <c r="AJ65">
        <f t="shared" si="32"/>
        <v>0</v>
      </c>
      <c r="AK65">
        <f t="shared" si="33"/>
        <v>0</v>
      </c>
      <c r="AL65">
        <f t="shared" si="34"/>
        <v>58</v>
      </c>
      <c r="AM65">
        <f t="shared" si="35"/>
        <v>444.5</v>
      </c>
      <c r="AN65">
        <f t="shared" si="36"/>
        <v>360</v>
      </c>
      <c r="AO65" s="1">
        <f t="shared" si="37"/>
        <v>1.2347222222222223</v>
      </c>
    </row>
    <row r="66" spans="1:41" x14ac:dyDescent="0.25">
      <c r="A66" t="s">
        <v>3</v>
      </c>
      <c r="B66">
        <v>6</v>
      </c>
      <c r="C66">
        <v>249</v>
      </c>
      <c r="D66">
        <v>96</v>
      </c>
      <c r="E66">
        <v>0</v>
      </c>
      <c r="F66">
        <v>80</v>
      </c>
      <c r="G66">
        <v>5</v>
      </c>
      <c r="H66">
        <v>0</v>
      </c>
      <c r="I66">
        <v>0</v>
      </c>
      <c r="J66">
        <v>2</v>
      </c>
      <c r="K66">
        <v>154</v>
      </c>
      <c r="L66">
        <v>9</v>
      </c>
      <c r="M66">
        <v>1</v>
      </c>
      <c r="N66" t="s">
        <v>1</v>
      </c>
      <c r="O66">
        <v>12</v>
      </c>
      <c r="P66">
        <v>21</v>
      </c>
      <c r="Q66">
        <v>25</v>
      </c>
      <c r="R66">
        <v>30</v>
      </c>
      <c r="S66">
        <v>30</v>
      </c>
      <c r="T66">
        <v>36</v>
      </c>
      <c r="U66">
        <v>378.5</v>
      </c>
      <c r="V66">
        <v>6</v>
      </c>
      <c r="W66">
        <f t="shared" ref="W66:W97" si="38">AM66-U66</f>
        <v>9</v>
      </c>
      <c r="X66">
        <f t="shared" ref="X66:X97" si="39">IF(O66=1,50,IF(O66=2,25,IF(O66=3,18,IF(O66=4,16,IF(O66=5,14,IF(O66=6,12,IF(O66=7,10,IF(O66=8,9,IF(O66=10,7,IF(O66&lt;=15,6,IF(O66&lt;=20,5,IF(O66&lt;=25,4,IF(O66&lt;=30,3,IF(O66&lt;=40,2,IF(O66&lt;=50,1,IF(O66&gt;50,0))))))))))))))))</f>
        <v>6</v>
      </c>
      <c r="Y66">
        <f t="shared" ref="Y66:Y97" si="40">IF(P66=1,50,IF(P66=2,25,IF(P66=3,18,IF(P66=4,16,IF(P66=5,14,IF(P66=6,12,IF(P66=7,10,IF(P66=8,9,IF(P66=10,7,IF(P66&lt;=15,6,IF(P66&lt;=20,5,IF(P66&lt;=25,4,IF(P66&lt;=30,3,IF(P66&lt;=40,2,IF(P66&lt;=50,1,IF(P66&gt;50,0))))))))))))))))</f>
        <v>4</v>
      </c>
      <c r="Z66">
        <f t="shared" ref="Z66:Z97" si="41">IF(Q66=1,50,IF(Q66=2,25,IF(Q66=3,18,IF(Q66=4,16,IF(Q66=5,14,IF(Q66=6,12,IF(Q66=7,10,IF(Q66=8,9,IF(Q66=10,7,IF(Q66&lt;=15,6,IF(Q66&lt;=20,5,IF(Q66&lt;=25,4,IF(Q66&lt;=30,3,IF(Q66&lt;=40,2,IF(Q66&lt;=50,1,IF(Q66&gt;50,0))))))))))))))))</f>
        <v>4</v>
      </c>
      <c r="AA66">
        <f t="shared" ref="AA66:AA97" si="42">IF(R66=1,50,IF(R66=2,25,IF(R66=3,18,IF(R66=4,16,IF(R66=5,14,IF(R66=6,12,IF(R66=7,10,IF(R66=8,9,IF(R66=10,7,IF(R66&lt;=15,6,IF(R66&lt;=20,5,IF(R66&lt;=25,4,IF(R66&lt;=30,3,IF(R66&lt;=40,2,IF(R66&lt;=50,1,IF(R66&gt;50,0))))))))))))))))</f>
        <v>3</v>
      </c>
      <c r="AB66">
        <f t="shared" ref="AB66:AB97" si="43">IF(S66=1,50,IF(S66=2,25,IF(S66=3,18,IF(S66=4,16,IF(S66=5,14,IF(S66=6,12,IF(S66=7,10,IF(S66=8,9,IF(S66=10,7,IF(S66&lt;=15,6,IF(S66&lt;=20,5,IF(S66&lt;=25,4,IF(S66&lt;=30,3,IF(S66&lt;=40,2,IF(S66&lt;=50,1,IF(S66&gt;50,0))))))))))))))))</f>
        <v>3</v>
      </c>
      <c r="AC66">
        <f t="shared" ref="AC66:AC97" si="44">IF(T66=1,50,IF(T66=2,25,IF(T66=3,18,IF(T66=4,16,IF(T66=5,14,IF(T66=6,12,IF(T66=7,10,IF(T66=8,9,IF(T66=10,7,IF(T66&lt;=15,6,IF(T66&lt;=20,5,IF(T66&lt;=25,4,IF(T66&lt;=30,3,IF(T66&lt;=40,2,IF(T66&lt;=50,1,IF(T66&gt;50,0))))))))))))))))</f>
        <v>2</v>
      </c>
      <c r="AD66">
        <f t="shared" ref="AD66:AD97" si="45">C66*0.5</f>
        <v>124.5</v>
      </c>
      <c r="AE66">
        <f t="shared" ref="AE66:AE97" si="46">D66*3</f>
        <v>288</v>
      </c>
      <c r="AF66">
        <f t="shared" ref="AF66:AF97" si="47">E66*8</f>
        <v>0</v>
      </c>
      <c r="AG66">
        <f t="shared" ref="AG66:AG97" si="48">-1*(F66/2)</f>
        <v>-40</v>
      </c>
      <c r="AH66">
        <f t="shared" ref="AH66:AH97" si="49">G66*-1</f>
        <v>-5</v>
      </c>
      <c r="AI66">
        <f t="shared" ref="AI66:AI97" si="50">H66*13</f>
        <v>0</v>
      </c>
      <c r="AJ66">
        <f t="shared" ref="AJ66:AJ97" si="51">I66*5</f>
        <v>0</v>
      </c>
      <c r="AK66">
        <f t="shared" ref="AK66:AK97" si="52">J66*-1</f>
        <v>-2</v>
      </c>
      <c r="AL66">
        <f t="shared" ref="AL66:AL97" si="53">SUM(X66:AC66)</f>
        <v>22</v>
      </c>
      <c r="AM66">
        <f t="shared" ref="AM66:AM97" si="54">SUM(AD66:AL66)</f>
        <v>387.5</v>
      </c>
      <c r="AN66">
        <f t="shared" ref="AN66:AN97" si="55">SUM(C66:G66,J66)</f>
        <v>432</v>
      </c>
      <c r="AO66" s="1">
        <f t="shared" ref="AO66:AO97" si="56">AM66/AN66</f>
        <v>0.8969907407407407</v>
      </c>
    </row>
    <row r="67" spans="1:41" x14ac:dyDescent="0.25">
      <c r="A67" t="s">
        <v>6</v>
      </c>
      <c r="B67">
        <v>6</v>
      </c>
      <c r="C67">
        <v>268</v>
      </c>
      <c r="D67">
        <v>81</v>
      </c>
      <c r="E67">
        <v>3</v>
      </c>
      <c r="F67">
        <v>69</v>
      </c>
      <c r="G67">
        <v>11</v>
      </c>
      <c r="H67">
        <v>0</v>
      </c>
      <c r="I67">
        <v>0</v>
      </c>
      <c r="J67">
        <v>0</v>
      </c>
      <c r="K67">
        <v>176</v>
      </c>
      <c r="L67">
        <v>9</v>
      </c>
      <c r="M67">
        <v>0</v>
      </c>
      <c r="N67" t="s">
        <v>0</v>
      </c>
      <c r="O67">
        <v>12</v>
      </c>
      <c r="P67">
        <v>25</v>
      </c>
      <c r="Q67">
        <v>25</v>
      </c>
      <c r="R67">
        <v>30</v>
      </c>
      <c r="S67">
        <v>36</v>
      </c>
      <c r="T67">
        <v>48</v>
      </c>
      <c r="U67">
        <v>378.5</v>
      </c>
      <c r="V67">
        <v>6</v>
      </c>
      <c r="W67">
        <f t="shared" si="38"/>
        <v>-3</v>
      </c>
      <c r="X67">
        <f t="shared" si="39"/>
        <v>6</v>
      </c>
      <c r="Y67">
        <f t="shared" si="40"/>
        <v>4</v>
      </c>
      <c r="Z67">
        <f t="shared" si="41"/>
        <v>4</v>
      </c>
      <c r="AA67">
        <f t="shared" si="42"/>
        <v>3</v>
      </c>
      <c r="AB67">
        <f t="shared" si="43"/>
        <v>2</v>
      </c>
      <c r="AC67">
        <f t="shared" si="44"/>
        <v>1</v>
      </c>
      <c r="AD67">
        <f t="shared" si="45"/>
        <v>134</v>
      </c>
      <c r="AE67">
        <f t="shared" si="46"/>
        <v>243</v>
      </c>
      <c r="AF67">
        <f t="shared" si="47"/>
        <v>24</v>
      </c>
      <c r="AG67">
        <f t="shared" si="48"/>
        <v>-34.5</v>
      </c>
      <c r="AH67">
        <f t="shared" si="49"/>
        <v>-11</v>
      </c>
      <c r="AI67">
        <f t="shared" si="50"/>
        <v>0</v>
      </c>
      <c r="AJ67">
        <f t="shared" si="51"/>
        <v>0</v>
      </c>
      <c r="AK67">
        <f t="shared" si="52"/>
        <v>0</v>
      </c>
      <c r="AL67">
        <f t="shared" si="53"/>
        <v>20</v>
      </c>
      <c r="AM67">
        <f t="shared" si="54"/>
        <v>375.5</v>
      </c>
      <c r="AN67">
        <f t="shared" si="55"/>
        <v>432</v>
      </c>
      <c r="AO67" s="1">
        <f t="shared" si="56"/>
        <v>0.86921296296296291</v>
      </c>
    </row>
    <row r="68" spans="1:41" x14ac:dyDescent="0.25">
      <c r="A68" t="s">
        <v>5</v>
      </c>
      <c r="B68">
        <v>6</v>
      </c>
      <c r="C68">
        <v>257</v>
      </c>
      <c r="D68">
        <v>71</v>
      </c>
      <c r="E68">
        <v>0</v>
      </c>
      <c r="F68">
        <v>62</v>
      </c>
      <c r="G68">
        <v>4</v>
      </c>
      <c r="H68">
        <v>0</v>
      </c>
      <c r="I68">
        <v>0</v>
      </c>
      <c r="J68">
        <v>2</v>
      </c>
      <c r="K68">
        <v>189</v>
      </c>
      <c r="L68">
        <v>9</v>
      </c>
      <c r="M68">
        <v>1</v>
      </c>
      <c r="N68" t="s">
        <v>4</v>
      </c>
      <c r="O68">
        <v>4</v>
      </c>
      <c r="P68">
        <v>8</v>
      </c>
      <c r="Q68">
        <v>18</v>
      </c>
      <c r="R68">
        <v>44</v>
      </c>
      <c r="S68">
        <v>56</v>
      </c>
      <c r="T68">
        <v>59</v>
      </c>
      <c r="U68">
        <v>378.5</v>
      </c>
      <c r="V68">
        <v>5</v>
      </c>
      <c r="W68">
        <f t="shared" si="38"/>
        <v>-43</v>
      </c>
      <c r="X68">
        <f t="shared" si="39"/>
        <v>16</v>
      </c>
      <c r="Y68">
        <f t="shared" si="40"/>
        <v>9</v>
      </c>
      <c r="Z68">
        <f t="shared" si="41"/>
        <v>5</v>
      </c>
      <c r="AA68">
        <f t="shared" si="42"/>
        <v>1</v>
      </c>
      <c r="AB68">
        <f t="shared" si="43"/>
        <v>0</v>
      </c>
      <c r="AC68">
        <f t="shared" si="44"/>
        <v>0</v>
      </c>
      <c r="AD68">
        <f t="shared" si="45"/>
        <v>128.5</v>
      </c>
      <c r="AE68">
        <f t="shared" si="46"/>
        <v>213</v>
      </c>
      <c r="AF68">
        <f t="shared" si="47"/>
        <v>0</v>
      </c>
      <c r="AG68">
        <f t="shared" si="48"/>
        <v>-31</v>
      </c>
      <c r="AH68">
        <f t="shared" si="49"/>
        <v>-4</v>
      </c>
      <c r="AI68">
        <f t="shared" si="50"/>
        <v>0</v>
      </c>
      <c r="AJ68">
        <f t="shared" si="51"/>
        <v>0</v>
      </c>
      <c r="AK68">
        <f t="shared" si="52"/>
        <v>-2</v>
      </c>
      <c r="AL68">
        <f t="shared" si="53"/>
        <v>31</v>
      </c>
      <c r="AM68">
        <f t="shared" si="54"/>
        <v>335.5</v>
      </c>
      <c r="AN68">
        <f t="shared" si="55"/>
        <v>396</v>
      </c>
      <c r="AO68" s="1">
        <f t="shared" si="56"/>
        <v>0.84722222222222221</v>
      </c>
    </row>
    <row r="69" spans="1:41" x14ac:dyDescent="0.25">
      <c r="A69" t="s">
        <v>0</v>
      </c>
      <c r="B69">
        <v>6</v>
      </c>
      <c r="C69">
        <v>255</v>
      </c>
      <c r="D69">
        <v>79</v>
      </c>
      <c r="E69">
        <v>4</v>
      </c>
      <c r="F69">
        <v>50</v>
      </c>
      <c r="G69">
        <v>8</v>
      </c>
      <c r="H69">
        <v>0</v>
      </c>
      <c r="I69">
        <v>0</v>
      </c>
      <c r="J69">
        <v>0</v>
      </c>
      <c r="K69">
        <v>122</v>
      </c>
      <c r="L69">
        <v>9</v>
      </c>
      <c r="M69">
        <v>1</v>
      </c>
      <c r="N69" t="s">
        <v>6</v>
      </c>
      <c r="O69">
        <v>1</v>
      </c>
      <c r="P69">
        <v>4</v>
      </c>
      <c r="Q69">
        <v>6</v>
      </c>
      <c r="R69">
        <v>8</v>
      </c>
      <c r="S69">
        <v>44</v>
      </c>
      <c r="T69">
        <v>59</v>
      </c>
      <c r="U69">
        <v>378.5</v>
      </c>
      <c r="V69">
        <v>5</v>
      </c>
      <c r="W69">
        <f t="shared" si="38"/>
        <v>73</v>
      </c>
      <c r="X69">
        <f t="shared" si="39"/>
        <v>50</v>
      </c>
      <c r="Y69">
        <f t="shared" si="40"/>
        <v>16</v>
      </c>
      <c r="Z69">
        <f t="shared" si="41"/>
        <v>12</v>
      </c>
      <c r="AA69">
        <f t="shared" si="42"/>
        <v>9</v>
      </c>
      <c r="AB69">
        <f t="shared" si="43"/>
        <v>1</v>
      </c>
      <c r="AC69">
        <f t="shared" si="44"/>
        <v>0</v>
      </c>
      <c r="AD69">
        <f t="shared" si="45"/>
        <v>127.5</v>
      </c>
      <c r="AE69">
        <f t="shared" si="46"/>
        <v>237</v>
      </c>
      <c r="AF69">
        <f t="shared" si="47"/>
        <v>32</v>
      </c>
      <c r="AG69">
        <f t="shared" si="48"/>
        <v>-25</v>
      </c>
      <c r="AH69">
        <f t="shared" si="49"/>
        <v>-8</v>
      </c>
      <c r="AI69">
        <f t="shared" si="50"/>
        <v>0</v>
      </c>
      <c r="AJ69">
        <f t="shared" si="51"/>
        <v>0</v>
      </c>
      <c r="AK69">
        <f t="shared" si="52"/>
        <v>0</v>
      </c>
      <c r="AL69">
        <f t="shared" si="53"/>
        <v>88</v>
      </c>
      <c r="AM69">
        <f t="shared" si="54"/>
        <v>451.5</v>
      </c>
      <c r="AN69">
        <f t="shared" si="55"/>
        <v>396</v>
      </c>
      <c r="AO69" s="1">
        <f t="shared" si="56"/>
        <v>1.1401515151515151</v>
      </c>
    </row>
    <row r="70" spans="1:41" x14ac:dyDescent="0.25">
      <c r="A70" t="s">
        <v>7</v>
      </c>
      <c r="B70">
        <v>6</v>
      </c>
      <c r="C70">
        <v>246</v>
      </c>
      <c r="D70">
        <v>73</v>
      </c>
      <c r="E70">
        <v>0</v>
      </c>
      <c r="F70">
        <v>70</v>
      </c>
      <c r="G70">
        <v>6</v>
      </c>
      <c r="H70">
        <v>0</v>
      </c>
      <c r="I70">
        <v>0</v>
      </c>
      <c r="J70">
        <v>1</v>
      </c>
      <c r="K70">
        <v>224</v>
      </c>
      <c r="L70">
        <v>9</v>
      </c>
      <c r="M70">
        <v>0</v>
      </c>
      <c r="N70" t="s">
        <v>2</v>
      </c>
      <c r="O70">
        <v>21</v>
      </c>
      <c r="P70">
        <v>30</v>
      </c>
      <c r="Q70">
        <v>30</v>
      </c>
      <c r="R70">
        <v>36</v>
      </c>
      <c r="S70">
        <v>48</v>
      </c>
      <c r="T70">
        <v>59</v>
      </c>
      <c r="U70">
        <v>378.5</v>
      </c>
      <c r="V70">
        <v>5</v>
      </c>
      <c r="W70">
        <f t="shared" si="38"/>
        <v>-65.5</v>
      </c>
      <c r="X70">
        <f t="shared" si="39"/>
        <v>4</v>
      </c>
      <c r="Y70">
        <f t="shared" si="40"/>
        <v>3</v>
      </c>
      <c r="Z70">
        <f t="shared" si="41"/>
        <v>3</v>
      </c>
      <c r="AA70">
        <f t="shared" si="42"/>
        <v>2</v>
      </c>
      <c r="AB70">
        <f t="shared" si="43"/>
        <v>1</v>
      </c>
      <c r="AC70">
        <f t="shared" si="44"/>
        <v>0</v>
      </c>
      <c r="AD70">
        <f t="shared" si="45"/>
        <v>123</v>
      </c>
      <c r="AE70">
        <f t="shared" si="46"/>
        <v>219</v>
      </c>
      <c r="AF70">
        <f t="shared" si="47"/>
        <v>0</v>
      </c>
      <c r="AG70">
        <f t="shared" si="48"/>
        <v>-35</v>
      </c>
      <c r="AH70">
        <f t="shared" si="49"/>
        <v>-6</v>
      </c>
      <c r="AI70">
        <f t="shared" si="50"/>
        <v>0</v>
      </c>
      <c r="AJ70">
        <f t="shared" si="51"/>
        <v>0</v>
      </c>
      <c r="AK70">
        <f t="shared" si="52"/>
        <v>-1</v>
      </c>
      <c r="AL70">
        <f t="shared" si="53"/>
        <v>13</v>
      </c>
      <c r="AM70">
        <f t="shared" si="54"/>
        <v>313</v>
      </c>
      <c r="AN70">
        <f t="shared" si="55"/>
        <v>396</v>
      </c>
      <c r="AO70" s="1">
        <f t="shared" si="56"/>
        <v>0.79040404040404044</v>
      </c>
    </row>
    <row r="71" spans="1:41" x14ac:dyDescent="0.25">
      <c r="A71" t="s">
        <v>2</v>
      </c>
      <c r="B71">
        <v>6</v>
      </c>
      <c r="C71">
        <v>260</v>
      </c>
      <c r="D71">
        <v>90</v>
      </c>
      <c r="E71">
        <v>1</v>
      </c>
      <c r="F71">
        <v>75</v>
      </c>
      <c r="G71">
        <v>5</v>
      </c>
      <c r="H71">
        <v>0</v>
      </c>
      <c r="I71">
        <v>0</v>
      </c>
      <c r="J71">
        <v>1</v>
      </c>
      <c r="K71">
        <v>163</v>
      </c>
      <c r="L71">
        <v>9</v>
      </c>
      <c r="M71">
        <v>1</v>
      </c>
      <c r="N71" t="s">
        <v>7</v>
      </c>
      <c r="O71">
        <v>2</v>
      </c>
      <c r="P71">
        <v>8</v>
      </c>
      <c r="Q71">
        <v>21</v>
      </c>
      <c r="R71">
        <v>36</v>
      </c>
      <c r="S71">
        <v>44</v>
      </c>
      <c r="T71">
        <v>52</v>
      </c>
      <c r="U71">
        <v>378.5</v>
      </c>
      <c r="V71">
        <v>6</v>
      </c>
      <c r="W71">
        <f t="shared" si="38"/>
        <v>27</v>
      </c>
      <c r="X71">
        <f t="shared" si="39"/>
        <v>25</v>
      </c>
      <c r="Y71">
        <f t="shared" si="40"/>
        <v>9</v>
      </c>
      <c r="Z71">
        <f t="shared" si="41"/>
        <v>4</v>
      </c>
      <c r="AA71">
        <f t="shared" si="42"/>
        <v>2</v>
      </c>
      <c r="AB71">
        <f t="shared" si="43"/>
        <v>1</v>
      </c>
      <c r="AC71">
        <f t="shared" si="44"/>
        <v>0</v>
      </c>
      <c r="AD71">
        <f t="shared" si="45"/>
        <v>130</v>
      </c>
      <c r="AE71">
        <f t="shared" si="46"/>
        <v>270</v>
      </c>
      <c r="AF71">
        <f t="shared" si="47"/>
        <v>8</v>
      </c>
      <c r="AG71">
        <f t="shared" si="48"/>
        <v>-37.5</v>
      </c>
      <c r="AH71">
        <f t="shared" si="49"/>
        <v>-5</v>
      </c>
      <c r="AI71">
        <f t="shared" si="50"/>
        <v>0</v>
      </c>
      <c r="AJ71">
        <f t="shared" si="51"/>
        <v>0</v>
      </c>
      <c r="AK71">
        <f t="shared" si="52"/>
        <v>-1</v>
      </c>
      <c r="AL71">
        <f t="shared" si="53"/>
        <v>41</v>
      </c>
      <c r="AM71">
        <f t="shared" si="54"/>
        <v>405.5</v>
      </c>
      <c r="AN71">
        <f t="shared" si="55"/>
        <v>432</v>
      </c>
      <c r="AO71" s="1">
        <f t="shared" si="56"/>
        <v>0.93865740740740744</v>
      </c>
    </row>
    <row r="72" spans="1:41" x14ac:dyDescent="0.25">
      <c r="A72" t="s">
        <v>4</v>
      </c>
      <c r="B72">
        <v>6</v>
      </c>
      <c r="C72">
        <v>191</v>
      </c>
      <c r="D72">
        <v>55</v>
      </c>
      <c r="E72">
        <v>1</v>
      </c>
      <c r="F72">
        <v>67</v>
      </c>
      <c r="G72">
        <v>9</v>
      </c>
      <c r="H72">
        <v>0</v>
      </c>
      <c r="I72">
        <v>0</v>
      </c>
      <c r="J72">
        <v>1</v>
      </c>
      <c r="K72">
        <v>320</v>
      </c>
      <c r="L72">
        <v>9</v>
      </c>
      <c r="M72">
        <v>0</v>
      </c>
      <c r="N72" t="s">
        <v>5</v>
      </c>
      <c r="O72">
        <v>36</v>
      </c>
      <c r="P72">
        <v>52</v>
      </c>
      <c r="Q72">
        <v>55</v>
      </c>
      <c r="R72">
        <v>59</v>
      </c>
      <c r="S72">
        <v>59</v>
      </c>
      <c r="T72">
        <v>59</v>
      </c>
      <c r="U72">
        <v>378.5</v>
      </c>
      <c r="V72">
        <v>3</v>
      </c>
      <c r="W72">
        <f t="shared" si="38"/>
        <v>-151.5</v>
      </c>
      <c r="X72">
        <f t="shared" si="39"/>
        <v>2</v>
      </c>
      <c r="Y72">
        <f t="shared" si="40"/>
        <v>0</v>
      </c>
      <c r="Z72">
        <f t="shared" si="41"/>
        <v>0</v>
      </c>
      <c r="AA72">
        <f t="shared" si="42"/>
        <v>0</v>
      </c>
      <c r="AB72">
        <f t="shared" si="43"/>
        <v>0</v>
      </c>
      <c r="AC72">
        <f t="shared" si="44"/>
        <v>0</v>
      </c>
      <c r="AD72">
        <f t="shared" si="45"/>
        <v>95.5</v>
      </c>
      <c r="AE72">
        <f t="shared" si="46"/>
        <v>165</v>
      </c>
      <c r="AF72">
        <f t="shared" si="47"/>
        <v>8</v>
      </c>
      <c r="AG72">
        <f t="shared" si="48"/>
        <v>-33.5</v>
      </c>
      <c r="AH72">
        <f t="shared" si="49"/>
        <v>-9</v>
      </c>
      <c r="AI72">
        <f t="shared" si="50"/>
        <v>0</v>
      </c>
      <c r="AJ72">
        <f t="shared" si="51"/>
        <v>0</v>
      </c>
      <c r="AK72">
        <f t="shared" si="52"/>
        <v>-1</v>
      </c>
      <c r="AL72">
        <f t="shared" si="53"/>
        <v>2</v>
      </c>
      <c r="AM72">
        <f t="shared" si="54"/>
        <v>227</v>
      </c>
      <c r="AN72">
        <f t="shared" si="55"/>
        <v>324</v>
      </c>
      <c r="AO72" s="1">
        <f t="shared" si="56"/>
        <v>0.70061728395061729</v>
      </c>
    </row>
    <row r="73" spans="1:41" x14ac:dyDescent="0.25">
      <c r="A73" t="s">
        <v>1</v>
      </c>
      <c r="B73">
        <v>6</v>
      </c>
      <c r="C73">
        <v>224</v>
      </c>
      <c r="D73">
        <v>86</v>
      </c>
      <c r="E73">
        <v>3</v>
      </c>
      <c r="F73">
        <v>77</v>
      </c>
      <c r="G73">
        <v>5</v>
      </c>
      <c r="H73">
        <v>0</v>
      </c>
      <c r="I73">
        <v>0</v>
      </c>
      <c r="J73">
        <v>1</v>
      </c>
      <c r="K73">
        <v>172</v>
      </c>
      <c r="L73">
        <v>9</v>
      </c>
      <c r="M73">
        <v>0</v>
      </c>
      <c r="N73" t="s">
        <v>3</v>
      </c>
      <c r="O73">
        <v>3</v>
      </c>
      <c r="P73">
        <v>12</v>
      </c>
      <c r="Q73">
        <v>18</v>
      </c>
      <c r="R73">
        <v>36</v>
      </c>
      <c r="S73">
        <v>44</v>
      </c>
      <c r="T73">
        <v>59</v>
      </c>
      <c r="U73">
        <v>378.5</v>
      </c>
      <c r="V73">
        <v>5</v>
      </c>
      <c r="W73">
        <f t="shared" si="38"/>
        <v>3</v>
      </c>
      <c r="X73">
        <f t="shared" si="39"/>
        <v>18</v>
      </c>
      <c r="Y73">
        <f t="shared" si="40"/>
        <v>6</v>
      </c>
      <c r="Z73">
        <f t="shared" si="41"/>
        <v>5</v>
      </c>
      <c r="AA73">
        <f t="shared" si="42"/>
        <v>2</v>
      </c>
      <c r="AB73">
        <f t="shared" si="43"/>
        <v>1</v>
      </c>
      <c r="AC73">
        <f t="shared" si="44"/>
        <v>0</v>
      </c>
      <c r="AD73">
        <f t="shared" si="45"/>
        <v>112</v>
      </c>
      <c r="AE73">
        <f t="shared" si="46"/>
        <v>258</v>
      </c>
      <c r="AF73">
        <f t="shared" si="47"/>
        <v>24</v>
      </c>
      <c r="AG73">
        <f t="shared" si="48"/>
        <v>-38.5</v>
      </c>
      <c r="AH73">
        <f t="shared" si="49"/>
        <v>-5</v>
      </c>
      <c r="AI73">
        <f t="shared" si="50"/>
        <v>0</v>
      </c>
      <c r="AJ73">
        <f t="shared" si="51"/>
        <v>0</v>
      </c>
      <c r="AK73">
        <f t="shared" si="52"/>
        <v>-1</v>
      </c>
      <c r="AL73">
        <f t="shared" si="53"/>
        <v>32</v>
      </c>
      <c r="AM73">
        <f t="shared" si="54"/>
        <v>381.5</v>
      </c>
      <c r="AN73">
        <f t="shared" si="55"/>
        <v>396</v>
      </c>
      <c r="AO73" s="1">
        <f t="shared" si="56"/>
        <v>0.96338383838383834</v>
      </c>
    </row>
    <row r="74" spans="1:41" x14ac:dyDescent="0.25">
      <c r="A74" t="s">
        <v>3</v>
      </c>
      <c r="B74">
        <v>6</v>
      </c>
      <c r="C74">
        <v>237</v>
      </c>
      <c r="D74">
        <v>104</v>
      </c>
      <c r="E74">
        <v>5</v>
      </c>
      <c r="F74">
        <v>42</v>
      </c>
      <c r="G74">
        <v>7</v>
      </c>
      <c r="H74">
        <v>0</v>
      </c>
      <c r="I74">
        <v>0</v>
      </c>
      <c r="J74">
        <v>1</v>
      </c>
      <c r="K74">
        <v>177</v>
      </c>
      <c r="L74">
        <v>10</v>
      </c>
      <c r="M74">
        <v>1</v>
      </c>
      <c r="N74" t="s">
        <v>7</v>
      </c>
      <c r="O74">
        <v>2</v>
      </c>
      <c r="P74">
        <v>2</v>
      </c>
      <c r="Q74">
        <v>19</v>
      </c>
      <c r="R74">
        <v>35</v>
      </c>
      <c r="S74">
        <v>45</v>
      </c>
      <c r="T74">
        <v>74</v>
      </c>
      <c r="U74">
        <v>350.5</v>
      </c>
      <c r="V74">
        <v>5</v>
      </c>
      <c r="W74">
        <f t="shared" si="38"/>
        <v>149</v>
      </c>
      <c r="X74">
        <f t="shared" si="39"/>
        <v>25</v>
      </c>
      <c r="Y74">
        <f t="shared" si="40"/>
        <v>25</v>
      </c>
      <c r="Z74">
        <f t="shared" si="41"/>
        <v>5</v>
      </c>
      <c r="AA74">
        <f t="shared" si="42"/>
        <v>2</v>
      </c>
      <c r="AB74">
        <f t="shared" si="43"/>
        <v>1</v>
      </c>
      <c r="AC74">
        <f t="shared" si="44"/>
        <v>0</v>
      </c>
      <c r="AD74">
        <f t="shared" si="45"/>
        <v>118.5</v>
      </c>
      <c r="AE74">
        <f t="shared" si="46"/>
        <v>312</v>
      </c>
      <c r="AF74">
        <f t="shared" si="47"/>
        <v>40</v>
      </c>
      <c r="AG74">
        <f t="shared" si="48"/>
        <v>-21</v>
      </c>
      <c r="AH74">
        <f t="shared" si="49"/>
        <v>-7</v>
      </c>
      <c r="AI74">
        <f t="shared" si="50"/>
        <v>0</v>
      </c>
      <c r="AJ74">
        <f t="shared" si="51"/>
        <v>0</v>
      </c>
      <c r="AK74">
        <f t="shared" si="52"/>
        <v>-1</v>
      </c>
      <c r="AL74">
        <f t="shared" si="53"/>
        <v>58</v>
      </c>
      <c r="AM74">
        <f t="shared" si="54"/>
        <v>499.5</v>
      </c>
      <c r="AN74">
        <f t="shared" si="55"/>
        <v>396</v>
      </c>
      <c r="AO74" s="1">
        <f t="shared" si="56"/>
        <v>1.2613636363636365</v>
      </c>
    </row>
    <row r="75" spans="1:41" x14ac:dyDescent="0.25">
      <c r="A75" t="s">
        <v>6</v>
      </c>
      <c r="B75">
        <v>6</v>
      </c>
      <c r="C75">
        <v>185</v>
      </c>
      <c r="D75">
        <v>76</v>
      </c>
      <c r="E75">
        <v>7</v>
      </c>
      <c r="F75">
        <v>51</v>
      </c>
      <c r="G75">
        <v>5</v>
      </c>
      <c r="H75">
        <v>0</v>
      </c>
      <c r="I75">
        <v>0</v>
      </c>
      <c r="J75">
        <v>0</v>
      </c>
      <c r="K75">
        <v>290</v>
      </c>
      <c r="L75">
        <v>10</v>
      </c>
      <c r="M75">
        <v>0</v>
      </c>
      <c r="N75" t="s">
        <v>1</v>
      </c>
      <c r="O75">
        <v>6</v>
      </c>
      <c r="P75">
        <v>8</v>
      </c>
      <c r="Q75">
        <v>54</v>
      </c>
      <c r="R75">
        <v>74</v>
      </c>
      <c r="S75">
        <v>74</v>
      </c>
      <c r="T75">
        <v>74</v>
      </c>
      <c r="U75">
        <v>350.5</v>
      </c>
      <c r="V75">
        <v>3</v>
      </c>
      <c r="W75">
        <f t="shared" si="38"/>
        <v>16.5</v>
      </c>
      <c r="X75">
        <f t="shared" si="39"/>
        <v>12</v>
      </c>
      <c r="Y75">
        <f t="shared" si="40"/>
        <v>9</v>
      </c>
      <c r="Z75">
        <f t="shared" si="41"/>
        <v>0</v>
      </c>
      <c r="AA75">
        <f t="shared" si="42"/>
        <v>0</v>
      </c>
      <c r="AB75">
        <f t="shared" si="43"/>
        <v>0</v>
      </c>
      <c r="AC75">
        <f t="shared" si="44"/>
        <v>0</v>
      </c>
      <c r="AD75">
        <f t="shared" si="45"/>
        <v>92.5</v>
      </c>
      <c r="AE75">
        <f t="shared" si="46"/>
        <v>228</v>
      </c>
      <c r="AF75">
        <f t="shared" si="47"/>
        <v>56</v>
      </c>
      <c r="AG75">
        <f t="shared" si="48"/>
        <v>-25.5</v>
      </c>
      <c r="AH75">
        <f t="shared" si="49"/>
        <v>-5</v>
      </c>
      <c r="AI75">
        <f t="shared" si="50"/>
        <v>0</v>
      </c>
      <c r="AJ75">
        <f t="shared" si="51"/>
        <v>0</v>
      </c>
      <c r="AK75">
        <f t="shared" si="52"/>
        <v>0</v>
      </c>
      <c r="AL75">
        <f t="shared" si="53"/>
        <v>21</v>
      </c>
      <c r="AM75">
        <f t="shared" si="54"/>
        <v>367</v>
      </c>
      <c r="AN75">
        <f t="shared" si="55"/>
        <v>324</v>
      </c>
      <c r="AO75" s="1">
        <f t="shared" si="56"/>
        <v>1.132716049382716</v>
      </c>
    </row>
    <row r="76" spans="1:41" x14ac:dyDescent="0.25">
      <c r="A76" t="s">
        <v>5</v>
      </c>
      <c r="B76">
        <v>6</v>
      </c>
      <c r="C76">
        <v>195</v>
      </c>
      <c r="D76">
        <v>76</v>
      </c>
      <c r="E76">
        <v>0</v>
      </c>
      <c r="F76">
        <v>45</v>
      </c>
      <c r="G76">
        <v>5</v>
      </c>
      <c r="H76">
        <v>0</v>
      </c>
      <c r="I76">
        <v>0</v>
      </c>
      <c r="J76">
        <v>3</v>
      </c>
      <c r="K76">
        <v>343</v>
      </c>
      <c r="L76">
        <v>10</v>
      </c>
      <c r="M76">
        <v>0</v>
      </c>
      <c r="N76" t="s">
        <v>0</v>
      </c>
      <c r="O76">
        <v>26</v>
      </c>
      <c r="P76">
        <v>31</v>
      </c>
      <c r="Q76">
        <v>64</v>
      </c>
      <c r="R76">
        <v>74</v>
      </c>
      <c r="S76">
        <v>74</v>
      </c>
      <c r="T76">
        <v>74</v>
      </c>
      <c r="U76">
        <v>350.5</v>
      </c>
      <c r="V76">
        <v>3</v>
      </c>
      <c r="W76">
        <f t="shared" si="38"/>
        <v>-50.5</v>
      </c>
      <c r="X76">
        <f t="shared" si="39"/>
        <v>3</v>
      </c>
      <c r="Y76">
        <f t="shared" si="40"/>
        <v>2</v>
      </c>
      <c r="Z76">
        <f t="shared" si="41"/>
        <v>0</v>
      </c>
      <c r="AA76">
        <f t="shared" si="42"/>
        <v>0</v>
      </c>
      <c r="AB76">
        <f t="shared" si="43"/>
        <v>0</v>
      </c>
      <c r="AC76">
        <f t="shared" si="44"/>
        <v>0</v>
      </c>
      <c r="AD76">
        <f t="shared" si="45"/>
        <v>97.5</v>
      </c>
      <c r="AE76">
        <f t="shared" si="46"/>
        <v>228</v>
      </c>
      <c r="AF76">
        <f t="shared" si="47"/>
        <v>0</v>
      </c>
      <c r="AG76">
        <f t="shared" si="48"/>
        <v>-22.5</v>
      </c>
      <c r="AH76">
        <f t="shared" si="49"/>
        <v>-5</v>
      </c>
      <c r="AI76">
        <f t="shared" si="50"/>
        <v>0</v>
      </c>
      <c r="AJ76">
        <f t="shared" si="51"/>
        <v>0</v>
      </c>
      <c r="AK76">
        <f t="shared" si="52"/>
        <v>-3</v>
      </c>
      <c r="AL76">
        <f t="shared" si="53"/>
        <v>5</v>
      </c>
      <c r="AM76">
        <f t="shared" si="54"/>
        <v>300</v>
      </c>
      <c r="AN76">
        <f t="shared" si="55"/>
        <v>324</v>
      </c>
      <c r="AO76" s="1">
        <f t="shared" si="56"/>
        <v>0.92592592592592593</v>
      </c>
    </row>
    <row r="77" spans="1:41" x14ac:dyDescent="0.25">
      <c r="A77" t="s">
        <v>0</v>
      </c>
      <c r="B77">
        <v>6</v>
      </c>
      <c r="C77">
        <v>247</v>
      </c>
      <c r="D77">
        <v>95</v>
      </c>
      <c r="E77">
        <v>2</v>
      </c>
      <c r="F77">
        <v>41</v>
      </c>
      <c r="G77">
        <v>10</v>
      </c>
      <c r="H77">
        <v>0</v>
      </c>
      <c r="I77">
        <v>0</v>
      </c>
      <c r="J77">
        <v>1</v>
      </c>
      <c r="K77">
        <v>237</v>
      </c>
      <c r="L77">
        <v>10</v>
      </c>
      <c r="M77">
        <v>1</v>
      </c>
      <c r="N77" t="s">
        <v>5</v>
      </c>
      <c r="O77">
        <v>1</v>
      </c>
      <c r="P77">
        <v>9</v>
      </c>
      <c r="Q77">
        <v>26</v>
      </c>
      <c r="R77">
        <v>54</v>
      </c>
      <c r="S77">
        <v>73</v>
      </c>
      <c r="T77">
        <v>74</v>
      </c>
      <c r="U77">
        <v>350.5</v>
      </c>
      <c r="V77">
        <v>5</v>
      </c>
      <c r="W77">
        <f t="shared" si="38"/>
        <v>101.5</v>
      </c>
      <c r="X77">
        <f t="shared" si="39"/>
        <v>50</v>
      </c>
      <c r="Y77">
        <f t="shared" si="40"/>
        <v>6</v>
      </c>
      <c r="Z77">
        <f t="shared" si="41"/>
        <v>3</v>
      </c>
      <c r="AA77">
        <f t="shared" si="42"/>
        <v>0</v>
      </c>
      <c r="AB77">
        <f t="shared" si="43"/>
        <v>0</v>
      </c>
      <c r="AC77">
        <f t="shared" si="44"/>
        <v>0</v>
      </c>
      <c r="AD77">
        <f t="shared" si="45"/>
        <v>123.5</v>
      </c>
      <c r="AE77">
        <f t="shared" si="46"/>
        <v>285</v>
      </c>
      <c r="AF77">
        <f t="shared" si="47"/>
        <v>16</v>
      </c>
      <c r="AG77">
        <f t="shared" si="48"/>
        <v>-20.5</v>
      </c>
      <c r="AH77">
        <f t="shared" si="49"/>
        <v>-10</v>
      </c>
      <c r="AI77">
        <f t="shared" si="50"/>
        <v>0</v>
      </c>
      <c r="AJ77">
        <f t="shared" si="51"/>
        <v>0</v>
      </c>
      <c r="AK77">
        <f t="shared" si="52"/>
        <v>-1</v>
      </c>
      <c r="AL77">
        <f t="shared" si="53"/>
        <v>59</v>
      </c>
      <c r="AM77">
        <f t="shared" si="54"/>
        <v>452</v>
      </c>
      <c r="AN77">
        <f t="shared" si="55"/>
        <v>396</v>
      </c>
      <c r="AO77" s="1">
        <f t="shared" si="56"/>
        <v>1.1414141414141414</v>
      </c>
    </row>
    <row r="78" spans="1:41" x14ac:dyDescent="0.25">
      <c r="A78" t="s">
        <v>7</v>
      </c>
      <c r="B78">
        <v>6</v>
      </c>
      <c r="C78">
        <v>207</v>
      </c>
      <c r="D78">
        <v>87</v>
      </c>
      <c r="E78">
        <v>0</v>
      </c>
      <c r="F78">
        <v>57</v>
      </c>
      <c r="G78">
        <v>9</v>
      </c>
      <c r="H78">
        <v>0</v>
      </c>
      <c r="I78">
        <v>0</v>
      </c>
      <c r="J78">
        <v>0</v>
      </c>
      <c r="K78">
        <v>325</v>
      </c>
      <c r="L78">
        <v>10</v>
      </c>
      <c r="M78">
        <v>0</v>
      </c>
      <c r="N78" t="s">
        <v>3</v>
      </c>
      <c r="O78">
        <v>19</v>
      </c>
      <c r="P78">
        <v>45</v>
      </c>
      <c r="Q78">
        <v>45</v>
      </c>
      <c r="R78">
        <v>68</v>
      </c>
      <c r="S78">
        <v>74</v>
      </c>
      <c r="T78">
        <v>74</v>
      </c>
      <c r="U78">
        <v>350.5</v>
      </c>
      <c r="V78">
        <v>4</v>
      </c>
      <c r="W78">
        <f t="shared" si="38"/>
        <v>-16.5</v>
      </c>
      <c r="X78">
        <f t="shared" si="39"/>
        <v>5</v>
      </c>
      <c r="Y78">
        <f t="shared" si="40"/>
        <v>1</v>
      </c>
      <c r="Z78">
        <f t="shared" si="41"/>
        <v>1</v>
      </c>
      <c r="AA78">
        <f t="shared" si="42"/>
        <v>0</v>
      </c>
      <c r="AB78">
        <f t="shared" si="43"/>
        <v>0</v>
      </c>
      <c r="AC78">
        <f t="shared" si="44"/>
        <v>0</v>
      </c>
      <c r="AD78">
        <f t="shared" si="45"/>
        <v>103.5</v>
      </c>
      <c r="AE78">
        <f t="shared" si="46"/>
        <v>261</v>
      </c>
      <c r="AF78">
        <f t="shared" si="47"/>
        <v>0</v>
      </c>
      <c r="AG78">
        <f t="shared" si="48"/>
        <v>-28.5</v>
      </c>
      <c r="AH78">
        <f t="shared" si="49"/>
        <v>-9</v>
      </c>
      <c r="AI78">
        <f t="shared" si="50"/>
        <v>0</v>
      </c>
      <c r="AJ78">
        <f t="shared" si="51"/>
        <v>0</v>
      </c>
      <c r="AK78">
        <f t="shared" si="52"/>
        <v>0</v>
      </c>
      <c r="AL78">
        <f t="shared" si="53"/>
        <v>7</v>
      </c>
      <c r="AM78">
        <f t="shared" si="54"/>
        <v>334</v>
      </c>
      <c r="AN78">
        <f t="shared" si="55"/>
        <v>360</v>
      </c>
      <c r="AO78" s="1">
        <f t="shared" si="56"/>
        <v>0.92777777777777781</v>
      </c>
    </row>
    <row r="79" spans="1:41" x14ac:dyDescent="0.25">
      <c r="A79" t="s">
        <v>2</v>
      </c>
      <c r="B79">
        <v>6</v>
      </c>
      <c r="C79">
        <v>147</v>
      </c>
      <c r="D79">
        <v>60</v>
      </c>
      <c r="E79">
        <v>2</v>
      </c>
      <c r="F79">
        <v>32</v>
      </c>
      <c r="G79">
        <v>9</v>
      </c>
      <c r="H79">
        <v>0</v>
      </c>
      <c r="I79">
        <v>0</v>
      </c>
      <c r="J79">
        <v>2</v>
      </c>
      <c r="K79">
        <v>372</v>
      </c>
      <c r="L79">
        <v>10</v>
      </c>
      <c r="M79">
        <v>0</v>
      </c>
      <c r="N79" t="s">
        <v>4</v>
      </c>
      <c r="O79">
        <v>2</v>
      </c>
      <c r="P79">
        <v>74</v>
      </c>
      <c r="Q79">
        <v>74</v>
      </c>
      <c r="R79">
        <v>74</v>
      </c>
      <c r="S79">
        <v>74</v>
      </c>
      <c r="T79">
        <v>74</v>
      </c>
      <c r="U79">
        <v>350.5</v>
      </c>
      <c r="V79">
        <v>1</v>
      </c>
      <c r="W79">
        <f t="shared" si="38"/>
        <v>-83</v>
      </c>
      <c r="X79">
        <f t="shared" si="39"/>
        <v>25</v>
      </c>
      <c r="Y79">
        <f t="shared" si="40"/>
        <v>0</v>
      </c>
      <c r="Z79">
        <f t="shared" si="41"/>
        <v>0</v>
      </c>
      <c r="AA79">
        <f t="shared" si="42"/>
        <v>0</v>
      </c>
      <c r="AB79">
        <f t="shared" si="43"/>
        <v>0</v>
      </c>
      <c r="AC79">
        <f t="shared" si="44"/>
        <v>0</v>
      </c>
      <c r="AD79">
        <f t="shared" si="45"/>
        <v>73.5</v>
      </c>
      <c r="AE79">
        <f t="shared" si="46"/>
        <v>180</v>
      </c>
      <c r="AF79">
        <f t="shared" si="47"/>
        <v>16</v>
      </c>
      <c r="AG79">
        <f t="shared" si="48"/>
        <v>-16</v>
      </c>
      <c r="AH79">
        <f t="shared" si="49"/>
        <v>-9</v>
      </c>
      <c r="AI79">
        <f t="shared" si="50"/>
        <v>0</v>
      </c>
      <c r="AJ79">
        <f t="shared" si="51"/>
        <v>0</v>
      </c>
      <c r="AK79">
        <f t="shared" si="52"/>
        <v>-2</v>
      </c>
      <c r="AL79">
        <f t="shared" si="53"/>
        <v>25</v>
      </c>
      <c r="AM79">
        <f t="shared" si="54"/>
        <v>267.5</v>
      </c>
      <c r="AN79">
        <f t="shared" si="55"/>
        <v>252</v>
      </c>
      <c r="AO79" s="1">
        <f t="shared" si="56"/>
        <v>1.0615079365079365</v>
      </c>
    </row>
    <row r="80" spans="1:41" x14ac:dyDescent="0.25">
      <c r="A80" t="s">
        <v>4</v>
      </c>
      <c r="B80">
        <v>5</v>
      </c>
      <c r="C80">
        <v>158</v>
      </c>
      <c r="D80">
        <v>75</v>
      </c>
      <c r="E80">
        <v>1</v>
      </c>
      <c r="F80">
        <v>46</v>
      </c>
      <c r="G80">
        <v>7</v>
      </c>
      <c r="H80">
        <v>0</v>
      </c>
      <c r="I80">
        <v>0</v>
      </c>
      <c r="J80">
        <v>1</v>
      </c>
      <c r="K80">
        <v>243</v>
      </c>
      <c r="L80">
        <v>10</v>
      </c>
      <c r="M80">
        <v>1</v>
      </c>
      <c r="N80" t="s">
        <v>2</v>
      </c>
      <c r="O80">
        <v>5</v>
      </c>
      <c r="P80">
        <v>45</v>
      </c>
      <c r="Q80">
        <v>45</v>
      </c>
      <c r="R80">
        <v>74</v>
      </c>
      <c r="S80">
        <v>74</v>
      </c>
      <c r="T80" t="s">
        <v>39</v>
      </c>
      <c r="U80">
        <v>350.5</v>
      </c>
      <c r="V80">
        <v>3</v>
      </c>
      <c r="W80">
        <f t="shared" si="38"/>
        <v>-53.5</v>
      </c>
      <c r="X80">
        <f t="shared" si="39"/>
        <v>14</v>
      </c>
      <c r="Y80">
        <f t="shared" si="40"/>
        <v>1</v>
      </c>
      <c r="Z80">
        <f t="shared" si="41"/>
        <v>1</v>
      </c>
      <c r="AA80">
        <f t="shared" si="42"/>
        <v>0</v>
      </c>
      <c r="AB80">
        <f t="shared" si="43"/>
        <v>0</v>
      </c>
      <c r="AC80">
        <f t="shared" si="44"/>
        <v>0</v>
      </c>
      <c r="AD80">
        <f t="shared" si="45"/>
        <v>79</v>
      </c>
      <c r="AE80">
        <f t="shared" si="46"/>
        <v>225</v>
      </c>
      <c r="AF80">
        <f t="shared" si="47"/>
        <v>8</v>
      </c>
      <c r="AG80">
        <f t="shared" si="48"/>
        <v>-23</v>
      </c>
      <c r="AH80">
        <f t="shared" si="49"/>
        <v>-7</v>
      </c>
      <c r="AI80">
        <f t="shared" si="50"/>
        <v>0</v>
      </c>
      <c r="AJ80">
        <f t="shared" si="51"/>
        <v>0</v>
      </c>
      <c r="AK80">
        <f t="shared" si="52"/>
        <v>-1</v>
      </c>
      <c r="AL80">
        <f t="shared" si="53"/>
        <v>16</v>
      </c>
      <c r="AM80">
        <f t="shared" si="54"/>
        <v>297</v>
      </c>
      <c r="AN80">
        <f t="shared" si="55"/>
        <v>288</v>
      </c>
      <c r="AO80" s="1">
        <f t="shared" si="56"/>
        <v>1.03125</v>
      </c>
    </row>
    <row r="81" spans="1:41" x14ac:dyDescent="0.25">
      <c r="A81" t="s">
        <v>1</v>
      </c>
      <c r="B81">
        <v>6</v>
      </c>
      <c r="C81">
        <v>271</v>
      </c>
      <c r="D81">
        <v>99</v>
      </c>
      <c r="E81">
        <v>3</v>
      </c>
      <c r="F81">
        <v>55</v>
      </c>
      <c r="G81">
        <v>3</v>
      </c>
      <c r="H81">
        <v>0</v>
      </c>
      <c r="I81">
        <v>0</v>
      </c>
      <c r="J81">
        <v>1</v>
      </c>
      <c r="K81">
        <v>195</v>
      </c>
      <c r="L81">
        <v>10</v>
      </c>
      <c r="M81">
        <v>1</v>
      </c>
      <c r="N81" t="s">
        <v>6</v>
      </c>
      <c r="O81">
        <v>6</v>
      </c>
      <c r="P81">
        <v>13</v>
      </c>
      <c r="Q81">
        <v>19</v>
      </c>
      <c r="R81">
        <v>35</v>
      </c>
      <c r="S81">
        <v>54</v>
      </c>
      <c r="T81">
        <v>68</v>
      </c>
      <c r="U81">
        <v>350.5</v>
      </c>
      <c r="V81">
        <v>6</v>
      </c>
      <c r="W81">
        <f t="shared" si="38"/>
        <v>99.5</v>
      </c>
      <c r="X81">
        <f t="shared" si="39"/>
        <v>12</v>
      </c>
      <c r="Y81">
        <f t="shared" si="40"/>
        <v>6</v>
      </c>
      <c r="Z81">
        <f t="shared" si="41"/>
        <v>5</v>
      </c>
      <c r="AA81">
        <f t="shared" si="42"/>
        <v>2</v>
      </c>
      <c r="AB81">
        <f t="shared" si="43"/>
        <v>0</v>
      </c>
      <c r="AC81">
        <f t="shared" si="44"/>
        <v>0</v>
      </c>
      <c r="AD81">
        <f t="shared" si="45"/>
        <v>135.5</v>
      </c>
      <c r="AE81">
        <f t="shared" si="46"/>
        <v>297</v>
      </c>
      <c r="AF81">
        <f t="shared" si="47"/>
        <v>24</v>
      </c>
      <c r="AG81">
        <f t="shared" si="48"/>
        <v>-27.5</v>
      </c>
      <c r="AH81">
        <f t="shared" si="49"/>
        <v>-3</v>
      </c>
      <c r="AI81">
        <f t="shared" si="50"/>
        <v>0</v>
      </c>
      <c r="AJ81">
        <f t="shared" si="51"/>
        <v>0</v>
      </c>
      <c r="AK81">
        <f t="shared" si="52"/>
        <v>-1</v>
      </c>
      <c r="AL81">
        <f t="shared" si="53"/>
        <v>25</v>
      </c>
      <c r="AM81">
        <f t="shared" si="54"/>
        <v>450</v>
      </c>
      <c r="AN81">
        <f t="shared" si="55"/>
        <v>432</v>
      </c>
      <c r="AO81" s="1">
        <f t="shared" si="56"/>
        <v>1.0416666666666667</v>
      </c>
    </row>
    <row r="82" spans="1:41" x14ac:dyDescent="0.25">
      <c r="A82" t="s">
        <v>3</v>
      </c>
      <c r="B82">
        <v>6</v>
      </c>
      <c r="C82">
        <v>174</v>
      </c>
      <c r="D82">
        <v>63</v>
      </c>
      <c r="E82">
        <v>1</v>
      </c>
      <c r="F82">
        <v>42</v>
      </c>
      <c r="G82">
        <v>7</v>
      </c>
      <c r="H82">
        <v>0</v>
      </c>
      <c r="I82">
        <v>0</v>
      </c>
      <c r="J82">
        <v>1</v>
      </c>
      <c r="K82">
        <v>334</v>
      </c>
      <c r="L82">
        <v>11</v>
      </c>
      <c r="M82">
        <v>0</v>
      </c>
      <c r="N82" t="s">
        <v>4</v>
      </c>
      <c r="O82">
        <v>5</v>
      </c>
      <c r="P82">
        <v>17</v>
      </c>
      <c r="Q82">
        <v>78</v>
      </c>
      <c r="R82">
        <v>78</v>
      </c>
      <c r="S82">
        <v>78</v>
      </c>
      <c r="T82">
        <v>78</v>
      </c>
      <c r="U82">
        <v>248</v>
      </c>
      <c r="V82">
        <v>2</v>
      </c>
      <c r="W82">
        <f t="shared" si="38"/>
        <v>26</v>
      </c>
      <c r="X82">
        <f t="shared" si="39"/>
        <v>14</v>
      </c>
      <c r="Y82">
        <f t="shared" si="40"/>
        <v>5</v>
      </c>
      <c r="Z82">
        <f t="shared" si="41"/>
        <v>0</v>
      </c>
      <c r="AA82">
        <f t="shared" si="42"/>
        <v>0</v>
      </c>
      <c r="AB82">
        <f t="shared" si="43"/>
        <v>0</v>
      </c>
      <c r="AC82">
        <f t="shared" si="44"/>
        <v>0</v>
      </c>
      <c r="AD82">
        <f t="shared" si="45"/>
        <v>87</v>
      </c>
      <c r="AE82">
        <f t="shared" si="46"/>
        <v>189</v>
      </c>
      <c r="AF82">
        <f t="shared" si="47"/>
        <v>8</v>
      </c>
      <c r="AG82">
        <f t="shared" si="48"/>
        <v>-21</v>
      </c>
      <c r="AH82">
        <f t="shared" si="49"/>
        <v>-7</v>
      </c>
      <c r="AI82">
        <f t="shared" si="50"/>
        <v>0</v>
      </c>
      <c r="AJ82">
        <f t="shared" si="51"/>
        <v>0</v>
      </c>
      <c r="AK82">
        <f t="shared" si="52"/>
        <v>-1</v>
      </c>
      <c r="AL82">
        <f t="shared" si="53"/>
        <v>19</v>
      </c>
      <c r="AM82">
        <f t="shared" si="54"/>
        <v>274</v>
      </c>
      <c r="AN82">
        <f t="shared" si="55"/>
        <v>288</v>
      </c>
      <c r="AO82" s="1">
        <f t="shared" si="56"/>
        <v>0.95138888888888884</v>
      </c>
    </row>
    <row r="83" spans="1:41" x14ac:dyDescent="0.25">
      <c r="A83" t="s">
        <v>6</v>
      </c>
      <c r="B83">
        <v>3</v>
      </c>
      <c r="C83">
        <v>140</v>
      </c>
      <c r="D83">
        <v>44</v>
      </c>
      <c r="E83">
        <v>1</v>
      </c>
      <c r="F83">
        <v>27</v>
      </c>
      <c r="G83">
        <v>4</v>
      </c>
      <c r="H83">
        <v>0</v>
      </c>
      <c r="I83">
        <v>0</v>
      </c>
      <c r="J83">
        <v>0</v>
      </c>
      <c r="K83">
        <v>83</v>
      </c>
      <c r="L83">
        <v>11</v>
      </c>
      <c r="M83">
        <v>0</v>
      </c>
      <c r="N83" t="s">
        <v>7</v>
      </c>
      <c r="O83">
        <v>2</v>
      </c>
      <c r="P83">
        <v>17</v>
      </c>
      <c r="Q83">
        <v>64</v>
      </c>
      <c r="R83" t="s">
        <v>39</v>
      </c>
      <c r="S83" t="s">
        <v>39</v>
      </c>
      <c r="T83" t="s">
        <v>39</v>
      </c>
      <c r="U83">
        <v>248</v>
      </c>
      <c r="V83">
        <v>3</v>
      </c>
      <c r="W83">
        <f t="shared" si="38"/>
        <v>-25.5</v>
      </c>
      <c r="X83">
        <f t="shared" si="39"/>
        <v>25</v>
      </c>
      <c r="Y83">
        <f t="shared" si="40"/>
        <v>5</v>
      </c>
      <c r="Z83">
        <f t="shared" si="41"/>
        <v>0</v>
      </c>
      <c r="AA83">
        <f t="shared" si="42"/>
        <v>0</v>
      </c>
      <c r="AB83">
        <f t="shared" si="43"/>
        <v>0</v>
      </c>
      <c r="AC83">
        <f t="shared" si="44"/>
        <v>0</v>
      </c>
      <c r="AD83">
        <f t="shared" si="45"/>
        <v>70</v>
      </c>
      <c r="AE83">
        <f t="shared" si="46"/>
        <v>132</v>
      </c>
      <c r="AF83">
        <f t="shared" si="47"/>
        <v>8</v>
      </c>
      <c r="AG83">
        <f t="shared" si="48"/>
        <v>-13.5</v>
      </c>
      <c r="AH83">
        <f t="shared" si="49"/>
        <v>-4</v>
      </c>
      <c r="AI83">
        <f t="shared" si="50"/>
        <v>0</v>
      </c>
      <c r="AJ83">
        <f t="shared" si="51"/>
        <v>0</v>
      </c>
      <c r="AK83">
        <f t="shared" si="52"/>
        <v>0</v>
      </c>
      <c r="AL83">
        <f t="shared" si="53"/>
        <v>30</v>
      </c>
      <c r="AM83">
        <f t="shared" si="54"/>
        <v>222.5</v>
      </c>
      <c r="AN83">
        <f t="shared" si="55"/>
        <v>216</v>
      </c>
      <c r="AO83" s="1">
        <f t="shared" si="56"/>
        <v>1.0300925925925926</v>
      </c>
    </row>
    <row r="84" spans="1:41" x14ac:dyDescent="0.25">
      <c r="A84" t="s">
        <v>5</v>
      </c>
      <c r="B84">
        <v>6</v>
      </c>
      <c r="C84">
        <v>165</v>
      </c>
      <c r="D84">
        <v>35</v>
      </c>
      <c r="E84">
        <v>0</v>
      </c>
      <c r="F84">
        <v>44</v>
      </c>
      <c r="G84">
        <v>7</v>
      </c>
      <c r="H84">
        <v>0</v>
      </c>
      <c r="I84">
        <v>0</v>
      </c>
      <c r="J84">
        <v>1</v>
      </c>
      <c r="K84">
        <v>451</v>
      </c>
      <c r="L84">
        <v>11</v>
      </c>
      <c r="M84">
        <v>0</v>
      </c>
      <c r="N84" t="s">
        <v>2</v>
      </c>
      <c r="O84">
        <v>61</v>
      </c>
      <c r="P84">
        <v>78</v>
      </c>
      <c r="Q84">
        <v>78</v>
      </c>
      <c r="R84">
        <v>78</v>
      </c>
      <c r="S84">
        <v>78</v>
      </c>
      <c r="T84">
        <v>78</v>
      </c>
      <c r="U84">
        <v>248</v>
      </c>
      <c r="V84">
        <v>1</v>
      </c>
      <c r="W84">
        <f t="shared" si="38"/>
        <v>-90.5</v>
      </c>
      <c r="X84">
        <f t="shared" si="39"/>
        <v>0</v>
      </c>
      <c r="Y84">
        <f t="shared" si="40"/>
        <v>0</v>
      </c>
      <c r="Z84">
        <f t="shared" si="41"/>
        <v>0</v>
      </c>
      <c r="AA84">
        <f t="shared" si="42"/>
        <v>0</v>
      </c>
      <c r="AB84">
        <f t="shared" si="43"/>
        <v>0</v>
      </c>
      <c r="AC84">
        <f t="shared" si="44"/>
        <v>0</v>
      </c>
      <c r="AD84">
        <f t="shared" si="45"/>
        <v>82.5</v>
      </c>
      <c r="AE84">
        <f t="shared" si="46"/>
        <v>105</v>
      </c>
      <c r="AF84">
        <f t="shared" si="47"/>
        <v>0</v>
      </c>
      <c r="AG84">
        <f t="shared" si="48"/>
        <v>-22</v>
      </c>
      <c r="AH84">
        <f t="shared" si="49"/>
        <v>-7</v>
      </c>
      <c r="AI84">
        <f t="shared" si="50"/>
        <v>0</v>
      </c>
      <c r="AJ84">
        <f t="shared" si="51"/>
        <v>0</v>
      </c>
      <c r="AK84">
        <f t="shared" si="52"/>
        <v>-1</v>
      </c>
      <c r="AL84">
        <f t="shared" si="53"/>
        <v>0</v>
      </c>
      <c r="AM84">
        <f t="shared" si="54"/>
        <v>157.5</v>
      </c>
      <c r="AN84">
        <f t="shared" si="55"/>
        <v>252</v>
      </c>
      <c r="AO84" s="1">
        <f t="shared" si="56"/>
        <v>0.625</v>
      </c>
    </row>
    <row r="85" spans="1:41" x14ac:dyDescent="0.25">
      <c r="A85" t="s">
        <v>0</v>
      </c>
      <c r="B85">
        <v>6</v>
      </c>
      <c r="C85">
        <v>278</v>
      </c>
      <c r="D85">
        <v>82</v>
      </c>
      <c r="E85">
        <v>2</v>
      </c>
      <c r="F85">
        <v>68</v>
      </c>
      <c r="G85">
        <v>2</v>
      </c>
      <c r="H85">
        <v>0</v>
      </c>
      <c r="I85">
        <v>0</v>
      </c>
      <c r="J85">
        <v>0</v>
      </c>
      <c r="K85">
        <v>189</v>
      </c>
      <c r="L85">
        <v>11</v>
      </c>
      <c r="M85">
        <v>1</v>
      </c>
      <c r="N85" t="s">
        <v>1</v>
      </c>
      <c r="O85">
        <v>9</v>
      </c>
      <c r="P85">
        <v>12</v>
      </c>
      <c r="Q85">
        <v>17</v>
      </c>
      <c r="R85">
        <v>33</v>
      </c>
      <c r="S85">
        <v>54</v>
      </c>
      <c r="T85">
        <v>64</v>
      </c>
      <c r="U85">
        <v>248</v>
      </c>
      <c r="V85">
        <v>6</v>
      </c>
      <c r="W85">
        <f t="shared" si="38"/>
        <v>136</v>
      </c>
      <c r="X85">
        <f t="shared" si="39"/>
        <v>6</v>
      </c>
      <c r="Y85">
        <f t="shared" si="40"/>
        <v>6</v>
      </c>
      <c r="Z85">
        <f t="shared" si="41"/>
        <v>5</v>
      </c>
      <c r="AA85">
        <f t="shared" si="42"/>
        <v>2</v>
      </c>
      <c r="AB85">
        <f t="shared" si="43"/>
        <v>0</v>
      </c>
      <c r="AC85">
        <f t="shared" si="44"/>
        <v>0</v>
      </c>
      <c r="AD85">
        <f t="shared" si="45"/>
        <v>139</v>
      </c>
      <c r="AE85">
        <f t="shared" si="46"/>
        <v>246</v>
      </c>
      <c r="AF85">
        <f t="shared" si="47"/>
        <v>16</v>
      </c>
      <c r="AG85">
        <f t="shared" si="48"/>
        <v>-34</v>
      </c>
      <c r="AH85">
        <f t="shared" si="49"/>
        <v>-2</v>
      </c>
      <c r="AI85">
        <f t="shared" si="50"/>
        <v>0</v>
      </c>
      <c r="AJ85">
        <f t="shared" si="51"/>
        <v>0</v>
      </c>
      <c r="AK85">
        <f t="shared" si="52"/>
        <v>0</v>
      </c>
      <c r="AL85">
        <f t="shared" si="53"/>
        <v>19</v>
      </c>
      <c r="AM85">
        <f t="shared" si="54"/>
        <v>384</v>
      </c>
      <c r="AN85">
        <f t="shared" si="55"/>
        <v>432</v>
      </c>
      <c r="AO85" s="1">
        <f t="shared" si="56"/>
        <v>0.88888888888888884</v>
      </c>
    </row>
    <row r="86" spans="1:41" x14ac:dyDescent="0.25">
      <c r="A86" t="s">
        <v>7</v>
      </c>
      <c r="B86">
        <v>6</v>
      </c>
      <c r="C86">
        <v>262</v>
      </c>
      <c r="D86">
        <v>73</v>
      </c>
      <c r="E86">
        <v>3</v>
      </c>
      <c r="F86">
        <v>53</v>
      </c>
      <c r="G86">
        <v>5</v>
      </c>
      <c r="H86">
        <v>0</v>
      </c>
      <c r="I86">
        <v>0</v>
      </c>
      <c r="J86">
        <v>0</v>
      </c>
      <c r="K86">
        <v>197</v>
      </c>
      <c r="L86">
        <v>11</v>
      </c>
      <c r="M86">
        <v>1</v>
      </c>
      <c r="N86" t="s">
        <v>6</v>
      </c>
      <c r="O86">
        <v>3</v>
      </c>
      <c r="P86">
        <v>5</v>
      </c>
      <c r="Q86">
        <v>11</v>
      </c>
      <c r="R86">
        <v>33</v>
      </c>
      <c r="S86">
        <v>67</v>
      </c>
      <c r="T86">
        <v>78</v>
      </c>
      <c r="U86">
        <v>248</v>
      </c>
      <c r="V86">
        <v>5</v>
      </c>
      <c r="W86">
        <f t="shared" si="38"/>
        <v>134.5</v>
      </c>
      <c r="X86">
        <f t="shared" si="39"/>
        <v>18</v>
      </c>
      <c r="Y86">
        <f t="shared" si="40"/>
        <v>14</v>
      </c>
      <c r="Z86">
        <f t="shared" si="41"/>
        <v>6</v>
      </c>
      <c r="AA86">
        <f t="shared" si="42"/>
        <v>2</v>
      </c>
      <c r="AB86">
        <f t="shared" si="43"/>
        <v>0</v>
      </c>
      <c r="AC86">
        <f t="shared" si="44"/>
        <v>0</v>
      </c>
      <c r="AD86">
        <f t="shared" si="45"/>
        <v>131</v>
      </c>
      <c r="AE86">
        <f t="shared" si="46"/>
        <v>219</v>
      </c>
      <c r="AF86">
        <f t="shared" si="47"/>
        <v>24</v>
      </c>
      <c r="AG86">
        <f t="shared" si="48"/>
        <v>-26.5</v>
      </c>
      <c r="AH86">
        <f t="shared" si="49"/>
        <v>-5</v>
      </c>
      <c r="AI86">
        <f t="shared" si="50"/>
        <v>0</v>
      </c>
      <c r="AJ86">
        <f t="shared" si="51"/>
        <v>0</v>
      </c>
      <c r="AK86">
        <f t="shared" si="52"/>
        <v>0</v>
      </c>
      <c r="AL86">
        <f t="shared" si="53"/>
        <v>40</v>
      </c>
      <c r="AM86">
        <f t="shared" si="54"/>
        <v>382.5</v>
      </c>
      <c r="AN86">
        <f t="shared" si="55"/>
        <v>396</v>
      </c>
      <c r="AO86" s="1">
        <f t="shared" si="56"/>
        <v>0.96590909090909094</v>
      </c>
    </row>
    <row r="87" spans="1:41" x14ac:dyDescent="0.25">
      <c r="A87" t="s">
        <v>2</v>
      </c>
      <c r="B87">
        <v>6</v>
      </c>
      <c r="C87">
        <v>256</v>
      </c>
      <c r="D87">
        <v>70</v>
      </c>
      <c r="E87">
        <v>2</v>
      </c>
      <c r="F87">
        <v>64</v>
      </c>
      <c r="G87">
        <v>4</v>
      </c>
      <c r="H87">
        <v>0</v>
      </c>
      <c r="I87">
        <v>0</v>
      </c>
      <c r="J87">
        <v>0</v>
      </c>
      <c r="K87">
        <v>261</v>
      </c>
      <c r="L87">
        <v>11</v>
      </c>
      <c r="M87">
        <v>1</v>
      </c>
      <c r="N87" t="s">
        <v>5</v>
      </c>
      <c r="O87">
        <v>17</v>
      </c>
      <c r="P87">
        <v>33</v>
      </c>
      <c r="Q87">
        <v>33</v>
      </c>
      <c r="R87">
        <v>33</v>
      </c>
      <c r="S87">
        <v>67</v>
      </c>
      <c r="T87">
        <v>78</v>
      </c>
      <c r="U87">
        <v>248</v>
      </c>
      <c r="V87">
        <v>5</v>
      </c>
      <c r="W87">
        <f t="shared" si="38"/>
        <v>81</v>
      </c>
      <c r="X87">
        <f t="shared" si="39"/>
        <v>5</v>
      </c>
      <c r="Y87">
        <f t="shared" si="40"/>
        <v>2</v>
      </c>
      <c r="Z87">
        <f t="shared" si="41"/>
        <v>2</v>
      </c>
      <c r="AA87">
        <f t="shared" si="42"/>
        <v>2</v>
      </c>
      <c r="AB87">
        <f t="shared" si="43"/>
        <v>0</v>
      </c>
      <c r="AC87">
        <f t="shared" si="44"/>
        <v>0</v>
      </c>
      <c r="AD87">
        <f t="shared" si="45"/>
        <v>128</v>
      </c>
      <c r="AE87">
        <f t="shared" si="46"/>
        <v>210</v>
      </c>
      <c r="AF87">
        <f t="shared" si="47"/>
        <v>16</v>
      </c>
      <c r="AG87">
        <f t="shared" si="48"/>
        <v>-32</v>
      </c>
      <c r="AH87">
        <f t="shared" si="49"/>
        <v>-4</v>
      </c>
      <c r="AI87">
        <f t="shared" si="50"/>
        <v>0</v>
      </c>
      <c r="AJ87">
        <f t="shared" si="51"/>
        <v>0</v>
      </c>
      <c r="AK87">
        <f t="shared" si="52"/>
        <v>0</v>
      </c>
      <c r="AL87">
        <f t="shared" si="53"/>
        <v>11</v>
      </c>
      <c r="AM87">
        <f t="shared" si="54"/>
        <v>329</v>
      </c>
      <c r="AN87">
        <f t="shared" si="55"/>
        <v>396</v>
      </c>
      <c r="AO87" s="1">
        <f t="shared" si="56"/>
        <v>0.83080808080808077</v>
      </c>
    </row>
    <row r="88" spans="1:41" x14ac:dyDescent="0.25">
      <c r="A88" t="s">
        <v>4</v>
      </c>
      <c r="B88">
        <v>6</v>
      </c>
      <c r="C88">
        <v>199</v>
      </c>
      <c r="D88">
        <v>67</v>
      </c>
      <c r="E88">
        <v>0</v>
      </c>
      <c r="F88">
        <v>55</v>
      </c>
      <c r="G88">
        <v>3</v>
      </c>
      <c r="H88">
        <v>0</v>
      </c>
      <c r="I88">
        <v>0</v>
      </c>
      <c r="J88">
        <v>0</v>
      </c>
      <c r="K88">
        <v>317</v>
      </c>
      <c r="L88">
        <v>11</v>
      </c>
      <c r="M88">
        <v>1</v>
      </c>
      <c r="N88" t="s">
        <v>3</v>
      </c>
      <c r="O88">
        <v>5</v>
      </c>
      <c r="P88">
        <v>33</v>
      </c>
      <c r="Q88">
        <v>45</v>
      </c>
      <c r="R88">
        <v>78</v>
      </c>
      <c r="S88">
        <v>78</v>
      </c>
      <c r="T88">
        <v>78</v>
      </c>
      <c r="U88">
        <v>248</v>
      </c>
      <c r="V88">
        <v>3</v>
      </c>
      <c r="W88">
        <f t="shared" si="38"/>
        <v>39</v>
      </c>
      <c r="X88">
        <f t="shared" si="39"/>
        <v>14</v>
      </c>
      <c r="Y88">
        <f t="shared" si="40"/>
        <v>2</v>
      </c>
      <c r="Z88">
        <f t="shared" si="41"/>
        <v>1</v>
      </c>
      <c r="AA88">
        <f t="shared" si="42"/>
        <v>0</v>
      </c>
      <c r="AB88">
        <f t="shared" si="43"/>
        <v>0</v>
      </c>
      <c r="AC88">
        <f t="shared" si="44"/>
        <v>0</v>
      </c>
      <c r="AD88">
        <f t="shared" si="45"/>
        <v>99.5</v>
      </c>
      <c r="AE88">
        <f t="shared" si="46"/>
        <v>201</v>
      </c>
      <c r="AF88">
        <f t="shared" si="47"/>
        <v>0</v>
      </c>
      <c r="AG88">
        <f t="shared" si="48"/>
        <v>-27.5</v>
      </c>
      <c r="AH88">
        <f t="shared" si="49"/>
        <v>-3</v>
      </c>
      <c r="AI88">
        <f t="shared" si="50"/>
        <v>0</v>
      </c>
      <c r="AJ88">
        <f t="shared" si="51"/>
        <v>0</v>
      </c>
      <c r="AK88">
        <f t="shared" si="52"/>
        <v>0</v>
      </c>
      <c r="AL88">
        <f t="shared" si="53"/>
        <v>17</v>
      </c>
      <c r="AM88">
        <f t="shared" si="54"/>
        <v>287</v>
      </c>
      <c r="AN88">
        <f t="shared" si="55"/>
        <v>324</v>
      </c>
      <c r="AO88" s="1">
        <f t="shared" si="56"/>
        <v>0.88580246913580252</v>
      </c>
    </row>
    <row r="89" spans="1:41" x14ac:dyDescent="0.25">
      <c r="A89" t="s">
        <v>1</v>
      </c>
      <c r="B89">
        <v>4</v>
      </c>
      <c r="C89">
        <v>111</v>
      </c>
      <c r="D89">
        <v>32</v>
      </c>
      <c r="E89">
        <v>0</v>
      </c>
      <c r="F89">
        <v>35</v>
      </c>
      <c r="G89">
        <v>2</v>
      </c>
      <c r="H89">
        <v>0</v>
      </c>
      <c r="I89">
        <v>0</v>
      </c>
      <c r="J89">
        <v>0</v>
      </c>
      <c r="K89">
        <v>260</v>
      </c>
      <c r="L89">
        <v>11</v>
      </c>
      <c r="M89">
        <v>0</v>
      </c>
      <c r="N89" t="s">
        <v>0</v>
      </c>
      <c r="O89">
        <v>26</v>
      </c>
      <c r="P89">
        <v>78</v>
      </c>
      <c r="Q89">
        <v>78</v>
      </c>
      <c r="R89">
        <v>78</v>
      </c>
      <c r="S89" t="s">
        <v>39</v>
      </c>
      <c r="T89" t="s">
        <v>39</v>
      </c>
      <c r="U89">
        <v>248</v>
      </c>
      <c r="V89">
        <v>1</v>
      </c>
      <c r="W89">
        <f t="shared" si="38"/>
        <v>-113</v>
      </c>
      <c r="X89">
        <f t="shared" si="39"/>
        <v>3</v>
      </c>
      <c r="Y89">
        <f t="shared" si="40"/>
        <v>0</v>
      </c>
      <c r="Z89">
        <f t="shared" si="41"/>
        <v>0</v>
      </c>
      <c r="AA89">
        <f t="shared" si="42"/>
        <v>0</v>
      </c>
      <c r="AB89">
        <f t="shared" si="43"/>
        <v>0</v>
      </c>
      <c r="AC89">
        <f t="shared" si="44"/>
        <v>0</v>
      </c>
      <c r="AD89">
        <f t="shared" si="45"/>
        <v>55.5</v>
      </c>
      <c r="AE89">
        <f t="shared" si="46"/>
        <v>96</v>
      </c>
      <c r="AF89">
        <f t="shared" si="47"/>
        <v>0</v>
      </c>
      <c r="AG89">
        <f t="shared" si="48"/>
        <v>-17.5</v>
      </c>
      <c r="AH89">
        <f t="shared" si="49"/>
        <v>-2</v>
      </c>
      <c r="AI89">
        <f t="shared" si="50"/>
        <v>0</v>
      </c>
      <c r="AJ89">
        <f t="shared" si="51"/>
        <v>0</v>
      </c>
      <c r="AK89">
        <f t="shared" si="52"/>
        <v>0</v>
      </c>
      <c r="AL89">
        <f t="shared" si="53"/>
        <v>3</v>
      </c>
      <c r="AM89">
        <f t="shared" si="54"/>
        <v>135</v>
      </c>
      <c r="AN89">
        <f t="shared" si="55"/>
        <v>180</v>
      </c>
      <c r="AO89" s="1">
        <f t="shared" si="56"/>
        <v>0.75</v>
      </c>
    </row>
    <row r="90" spans="1:41" x14ac:dyDescent="0.25">
      <c r="A90" t="s">
        <v>3</v>
      </c>
      <c r="B90">
        <v>6</v>
      </c>
      <c r="C90">
        <v>234</v>
      </c>
      <c r="D90">
        <v>55</v>
      </c>
      <c r="E90">
        <v>0</v>
      </c>
      <c r="F90">
        <v>31</v>
      </c>
      <c r="G90">
        <v>4</v>
      </c>
      <c r="H90">
        <v>0</v>
      </c>
      <c r="I90">
        <v>0</v>
      </c>
      <c r="J90">
        <v>0</v>
      </c>
      <c r="K90">
        <v>303</v>
      </c>
      <c r="L90">
        <v>12</v>
      </c>
      <c r="M90">
        <v>0</v>
      </c>
      <c r="N90" t="s">
        <v>2</v>
      </c>
      <c r="O90">
        <v>2</v>
      </c>
      <c r="P90">
        <v>7</v>
      </c>
      <c r="Q90">
        <v>45</v>
      </c>
      <c r="R90">
        <v>83</v>
      </c>
      <c r="S90">
        <v>83</v>
      </c>
      <c r="T90">
        <v>83</v>
      </c>
      <c r="U90">
        <v>334</v>
      </c>
      <c r="V90">
        <v>3</v>
      </c>
      <c r="W90">
        <f t="shared" si="38"/>
        <v>-35.5</v>
      </c>
      <c r="X90">
        <f t="shared" si="39"/>
        <v>25</v>
      </c>
      <c r="Y90">
        <f t="shared" si="40"/>
        <v>10</v>
      </c>
      <c r="Z90">
        <f t="shared" si="41"/>
        <v>1</v>
      </c>
      <c r="AA90">
        <f t="shared" si="42"/>
        <v>0</v>
      </c>
      <c r="AB90">
        <f t="shared" si="43"/>
        <v>0</v>
      </c>
      <c r="AC90">
        <f t="shared" si="44"/>
        <v>0</v>
      </c>
      <c r="AD90">
        <f t="shared" si="45"/>
        <v>117</v>
      </c>
      <c r="AE90">
        <f t="shared" si="46"/>
        <v>165</v>
      </c>
      <c r="AF90">
        <f t="shared" si="47"/>
        <v>0</v>
      </c>
      <c r="AG90">
        <f t="shared" si="48"/>
        <v>-15.5</v>
      </c>
      <c r="AH90">
        <f t="shared" si="49"/>
        <v>-4</v>
      </c>
      <c r="AI90">
        <f t="shared" si="50"/>
        <v>0</v>
      </c>
      <c r="AJ90">
        <f t="shared" si="51"/>
        <v>0</v>
      </c>
      <c r="AK90">
        <f t="shared" si="52"/>
        <v>0</v>
      </c>
      <c r="AL90">
        <f t="shared" si="53"/>
        <v>36</v>
      </c>
      <c r="AM90">
        <f t="shared" si="54"/>
        <v>298.5</v>
      </c>
      <c r="AN90">
        <f t="shared" si="55"/>
        <v>324</v>
      </c>
      <c r="AO90" s="1">
        <f t="shared" si="56"/>
        <v>0.92129629629629628</v>
      </c>
    </row>
    <row r="91" spans="1:41" x14ac:dyDescent="0.25">
      <c r="A91" t="s">
        <v>6</v>
      </c>
      <c r="B91">
        <v>6</v>
      </c>
      <c r="C91">
        <v>227</v>
      </c>
      <c r="D91">
        <v>66</v>
      </c>
      <c r="E91">
        <v>4</v>
      </c>
      <c r="F91">
        <v>58</v>
      </c>
      <c r="G91">
        <v>5</v>
      </c>
      <c r="H91">
        <v>0</v>
      </c>
      <c r="I91">
        <v>0</v>
      </c>
      <c r="J91">
        <v>0</v>
      </c>
      <c r="K91">
        <v>274</v>
      </c>
      <c r="L91">
        <v>12</v>
      </c>
      <c r="M91">
        <v>1</v>
      </c>
      <c r="N91" t="s">
        <v>4</v>
      </c>
      <c r="O91">
        <v>2</v>
      </c>
      <c r="P91">
        <v>11</v>
      </c>
      <c r="Q91">
        <v>17</v>
      </c>
      <c r="R91">
        <v>78</v>
      </c>
      <c r="S91">
        <v>83</v>
      </c>
      <c r="T91">
        <v>83</v>
      </c>
      <c r="U91">
        <v>334</v>
      </c>
      <c r="V91">
        <v>4</v>
      </c>
      <c r="W91">
        <f t="shared" si="38"/>
        <v>11.5</v>
      </c>
      <c r="X91">
        <f t="shared" si="39"/>
        <v>25</v>
      </c>
      <c r="Y91">
        <f t="shared" si="40"/>
        <v>6</v>
      </c>
      <c r="Z91">
        <f t="shared" si="41"/>
        <v>5</v>
      </c>
      <c r="AA91">
        <f t="shared" si="42"/>
        <v>0</v>
      </c>
      <c r="AB91">
        <f t="shared" si="43"/>
        <v>0</v>
      </c>
      <c r="AC91">
        <f t="shared" si="44"/>
        <v>0</v>
      </c>
      <c r="AD91">
        <f t="shared" si="45"/>
        <v>113.5</v>
      </c>
      <c r="AE91">
        <f t="shared" si="46"/>
        <v>198</v>
      </c>
      <c r="AF91">
        <f t="shared" si="47"/>
        <v>32</v>
      </c>
      <c r="AG91">
        <f t="shared" si="48"/>
        <v>-29</v>
      </c>
      <c r="AH91">
        <f t="shared" si="49"/>
        <v>-5</v>
      </c>
      <c r="AI91">
        <f t="shared" si="50"/>
        <v>0</v>
      </c>
      <c r="AJ91">
        <f t="shared" si="51"/>
        <v>0</v>
      </c>
      <c r="AK91">
        <f t="shared" si="52"/>
        <v>0</v>
      </c>
      <c r="AL91">
        <f t="shared" si="53"/>
        <v>36</v>
      </c>
      <c r="AM91">
        <f t="shared" si="54"/>
        <v>345.5</v>
      </c>
      <c r="AN91">
        <f t="shared" si="55"/>
        <v>360</v>
      </c>
      <c r="AO91" s="1">
        <f t="shared" si="56"/>
        <v>0.95972222222222225</v>
      </c>
    </row>
    <row r="92" spans="1:41" x14ac:dyDescent="0.25">
      <c r="A92" t="s">
        <v>5</v>
      </c>
      <c r="B92">
        <v>5</v>
      </c>
      <c r="C92">
        <v>211</v>
      </c>
      <c r="D92">
        <v>55</v>
      </c>
      <c r="E92">
        <v>1</v>
      </c>
      <c r="F92">
        <v>54</v>
      </c>
      <c r="G92">
        <v>3</v>
      </c>
      <c r="H92">
        <v>0</v>
      </c>
      <c r="I92">
        <v>0</v>
      </c>
      <c r="J92">
        <v>0</v>
      </c>
      <c r="K92">
        <v>299</v>
      </c>
      <c r="L92">
        <v>12</v>
      </c>
      <c r="M92">
        <v>1</v>
      </c>
      <c r="N92" t="s">
        <v>1</v>
      </c>
      <c r="O92">
        <v>45</v>
      </c>
      <c r="P92">
        <v>45</v>
      </c>
      <c r="Q92">
        <v>58</v>
      </c>
      <c r="R92">
        <v>69</v>
      </c>
      <c r="S92">
        <v>83</v>
      </c>
      <c r="T92" t="s">
        <v>39</v>
      </c>
      <c r="U92">
        <v>334</v>
      </c>
      <c r="V92">
        <v>4</v>
      </c>
      <c r="W92">
        <f t="shared" si="38"/>
        <v>-83.5</v>
      </c>
      <c r="X92">
        <f t="shared" si="39"/>
        <v>1</v>
      </c>
      <c r="Y92">
        <f t="shared" si="40"/>
        <v>1</v>
      </c>
      <c r="Z92">
        <f t="shared" si="41"/>
        <v>0</v>
      </c>
      <c r="AA92">
        <f t="shared" si="42"/>
        <v>0</v>
      </c>
      <c r="AB92">
        <f t="shared" si="43"/>
        <v>0</v>
      </c>
      <c r="AC92">
        <f t="shared" si="44"/>
        <v>0</v>
      </c>
      <c r="AD92">
        <f t="shared" si="45"/>
        <v>105.5</v>
      </c>
      <c r="AE92">
        <f t="shared" si="46"/>
        <v>165</v>
      </c>
      <c r="AF92">
        <f t="shared" si="47"/>
        <v>8</v>
      </c>
      <c r="AG92">
        <f t="shared" si="48"/>
        <v>-27</v>
      </c>
      <c r="AH92">
        <f t="shared" si="49"/>
        <v>-3</v>
      </c>
      <c r="AI92">
        <f t="shared" si="50"/>
        <v>0</v>
      </c>
      <c r="AJ92">
        <f t="shared" si="51"/>
        <v>0</v>
      </c>
      <c r="AK92">
        <f t="shared" si="52"/>
        <v>0</v>
      </c>
      <c r="AL92">
        <f t="shared" si="53"/>
        <v>2</v>
      </c>
      <c r="AM92">
        <f t="shared" si="54"/>
        <v>250.5</v>
      </c>
      <c r="AN92">
        <f t="shared" si="55"/>
        <v>324</v>
      </c>
      <c r="AO92" s="1">
        <f t="shared" si="56"/>
        <v>0.77314814814814814</v>
      </c>
    </row>
    <row r="93" spans="1:41" x14ac:dyDescent="0.25">
      <c r="A93" t="s">
        <v>0</v>
      </c>
      <c r="B93">
        <v>6</v>
      </c>
      <c r="C93">
        <v>242</v>
      </c>
      <c r="D93">
        <v>90</v>
      </c>
      <c r="E93">
        <v>1</v>
      </c>
      <c r="F93">
        <v>57</v>
      </c>
      <c r="G93">
        <v>6</v>
      </c>
      <c r="H93">
        <v>0</v>
      </c>
      <c r="I93">
        <v>0</v>
      </c>
      <c r="J93">
        <v>0</v>
      </c>
      <c r="K93">
        <v>230</v>
      </c>
      <c r="L93">
        <v>12</v>
      </c>
      <c r="M93">
        <v>1</v>
      </c>
      <c r="N93" t="s">
        <v>7</v>
      </c>
      <c r="O93">
        <v>2</v>
      </c>
      <c r="P93">
        <v>7</v>
      </c>
      <c r="Q93">
        <v>28</v>
      </c>
      <c r="R93">
        <v>36</v>
      </c>
      <c r="S93">
        <v>74</v>
      </c>
      <c r="T93">
        <v>83</v>
      </c>
      <c r="U93">
        <v>334</v>
      </c>
      <c r="V93">
        <v>5</v>
      </c>
      <c r="W93">
        <f t="shared" si="38"/>
        <v>70.5</v>
      </c>
      <c r="X93">
        <f t="shared" si="39"/>
        <v>25</v>
      </c>
      <c r="Y93">
        <f t="shared" si="40"/>
        <v>10</v>
      </c>
      <c r="Z93">
        <f t="shared" si="41"/>
        <v>3</v>
      </c>
      <c r="AA93">
        <f t="shared" si="42"/>
        <v>2</v>
      </c>
      <c r="AB93">
        <f t="shared" si="43"/>
        <v>0</v>
      </c>
      <c r="AC93">
        <f t="shared" si="44"/>
        <v>0</v>
      </c>
      <c r="AD93">
        <f t="shared" si="45"/>
        <v>121</v>
      </c>
      <c r="AE93">
        <f t="shared" si="46"/>
        <v>270</v>
      </c>
      <c r="AF93">
        <f t="shared" si="47"/>
        <v>8</v>
      </c>
      <c r="AG93">
        <f t="shared" si="48"/>
        <v>-28.5</v>
      </c>
      <c r="AH93">
        <f t="shared" si="49"/>
        <v>-6</v>
      </c>
      <c r="AI93">
        <f t="shared" si="50"/>
        <v>0</v>
      </c>
      <c r="AJ93">
        <f t="shared" si="51"/>
        <v>0</v>
      </c>
      <c r="AK93">
        <f t="shared" si="52"/>
        <v>0</v>
      </c>
      <c r="AL93">
        <f t="shared" si="53"/>
        <v>40</v>
      </c>
      <c r="AM93">
        <f t="shared" si="54"/>
        <v>404.5</v>
      </c>
      <c r="AN93">
        <f t="shared" si="55"/>
        <v>396</v>
      </c>
      <c r="AO93" s="1">
        <f t="shared" si="56"/>
        <v>1.0214646464646464</v>
      </c>
    </row>
    <row r="94" spans="1:41" x14ac:dyDescent="0.25">
      <c r="A94" t="s">
        <v>7</v>
      </c>
      <c r="B94">
        <v>6</v>
      </c>
      <c r="C94">
        <v>264</v>
      </c>
      <c r="D94">
        <v>76</v>
      </c>
      <c r="E94">
        <v>2</v>
      </c>
      <c r="F94">
        <v>51</v>
      </c>
      <c r="G94">
        <v>3</v>
      </c>
      <c r="H94">
        <v>0</v>
      </c>
      <c r="I94">
        <v>1</v>
      </c>
      <c r="J94">
        <v>0</v>
      </c>
      <c r="K94">
        <v>230</v>
      </c>
      <c r="L94">
        <v>12</v>
      </c>
      <c r="M94">
        <v>0</v>
      </c>
      <c r="N94" t="s">
        <v>0</v>
      </c>
      <c r="O94">
        <v>2</v>
      </c>
      <c r="P94">
        <v>14</v>
      </c>
      <c r="Q94">
        <v>31</v>
      </c>
      <c r="R94">
        <v>36</v>
      </c>
      <c r="S94">
        <v>64</v>
      </c>
      <c r="T94">
        <v>83</v>
      </c>
      <c r="U94">
        <v>334</v>
      </c>
      <c r="V94">
        <v>5</v>
      </c>
      <c r="W94">
        <f t="shared" si="38"/>
        <v>53.5</v>
      </c>
      <c r="X94">
        <f t="shared" si="39"/>
        <v>25</v>
      </c>
      <c r="Y94">
        <f t="shared" si="40"/>
        <v>6</v>
      </c>
      <c r="Z94">
        <f t="shared" si="41"/>
        <v>2</v>
      </c>
      <c r="AA94">
        <f t="shared" si="42"/>
        <v>2</v>
      </c>
      <c r="AB94">
        <f t="shared" si="43"/>
        <v>0</v>
      </c>
      <c r="AC94">
        <f t="shared" si="44"/>
        <v>0</v>
      </c>
      <c r="AD94">
        <f t="shared" si="45"/>
        <v>132</v>
      </c>
      <c r="AE94">
        <f t="shared" si="46"/>
        <v>228</v>
      </c>
      <c r="AF94">
        <f t="shared" si="47"/>
        <v>16</v>
      </c>
      <c r="AG94">
        <f t="shared" si="48"/>
        <v>-25.5</v>
      </c>
      <c r="AH94">
        <f t="shared" si="49"/>
        <v>-3</v>
      </c>
      <c r="AI94">
        <f t="shared" si="50"/>
        <v>0</v>
      </c>
      <c r="AJ94">
        <f t="shared" si="51"/>
        <v>5</v>
      </c>
      <c r="AK94">
        <f t="shared" si="52"/>
        <v>0</v>
      </c>
      <c r="AL94">
        <f t="shared" si="53"/>
        <v>35</v>
      </c>
      <c r="AM94">
        <f t="shared" si="54"/>
        <v>387.5</v>
      </c>
      <c r="AN94">
        <f t="shared" si="55"/>
        <v>396</v>
      </c>
      <c r="AO94" s="1">
        <f t="shared" si="56"/>
        <v>0.97853535353535348</v>
      </c>
    </row>
    <row r="95" spans="1:41" x14ac:dyDescent="0.25">
      <c r="A95" t="s">
        <v>2</v>
      </c>
      <c r="B95">
        <v>6</v>
      </c>
      <c r="C95">
        <v>229</v>
      </c>
      <c r="D95">
        <v>78</v>
      </c>
      <c r="E95">
        <v>0</v>
      </c>
      <c r="F95">
        <v>50</v>
      </c>
      <c r="G95">
        <v>3</v>
      </c>
      <c r="H95">
        <v>0</v>
      </c>
      <c r="I95">
        <v>0</v>
      </c>
      <c r="J95">
        <v>0</v>
      </c>
      <c r="K95">
        <v>243</v>
      </c>
      <c r="L95">
        <v>12</v>
      </c>
      <c r="M95">
        <v>1</v>
      </c>
      <c r="N95" t="s">
        <v>3</v>
      </c>
      <c r="O95">
        <v>1</v>
      </c>
      <c r="P95">
        <v>14</v>
      </c>
      <c r="Q95">
        <v>31</v>
      </c>
      <c r="R95">
        <v>31</v>
      </c>
      <c r="S95">
        <v>83</v>
      </c>
      <c r="T95">
        <v>83</v>
      </c>
      <c r="U95">
        <v>334</v>
      </c>
      <c r="V95">
        <v>3</v>
      </c>
      <c r="W95">
        <f t="shared" si="38"/>
        <v>46.5</v>
      </c>
      <c r="X95">
        <f t="shared" si="39"/>
        <v>50</v>
      </c>
      <c r="Y95">
        <f t="shared" si="40"/>
        <v>6</v>
      </c>
      <c r="Z95">
        <f t="shared" si="41"/>
        <v>2</v>
      </c>
      <c r="AA95">
        <f t="shared" si="42"/>
        <v>2</v>
      </c>
      <c r="AB95">
        <f t="shared" si="43"/>
        <v>0</v>
      </c>
      <c r="AC95">
        <f t="shared" si="44"/>
        <v>0</v>
      </c>
      <c r="AD95">
        <f t="shared" si="45"/>
        <v>114.5</v>
      </c>
      <c r="AE95">
        <f t="shared" si="46"/>
        <v>234</v>
      </c>
      <c r="AF95">
        <f t="shared" si="47"/>
        <v>0</v>
      </c>
      <c r="AG95">
        <f t="shared" si="48"/>
        <v>-25</v>
      </c>
      <c r="AH95">
        <f t="shared" si="49"/>
        <v>-3</v>
      </c>
      <c r="AI95">
        <f t="shared" si="50"/>
        <v>0</v>
      </c>
      <c r="AJ95">
        <f t="shared" si="51"/>
        <v>0</v>
      </c>
      <c r="AK95">
        <f t="shared" si="52"/>
        <v>0</v>
      </c>
      <c r="AL95">
        <f t="shared" si="53"/>
        <v>60</v>
      </c>
      <c r="AM95">
        <f t="shared" si="54"/>
        <v>380.5</v>
      </c>
      <c r="AN95">
        <f t="shared" si="55"/>
        <v>360</v>
      </c>
      <c r="AO95" s="1">
        <f t="shared" si="56"/>
        <v>1.0569444444444445</v>
      </c>
    </row>
    <row r="96" spans="1:41" x14ac:dyDescent="0.25">
      <c r="A96" t="s">
        <v>4</v>
      </c>
      <c r="B96">
        <v>6</v>
      </c>
      <c r="C96">
        <v>253</v>
      </c>
      <c r="D96">
        <v>75</v>
      </c>
      <c r="E96">
        <v>0</v>
      </c>
      <c r="F96">
        <v>64</v>
      </c>
      <c r="G96">
        <v>4</v>
      </c>
      <c r="H96">
        <v>0</v>
      </c>
      <c r="I96">
        <v>0</v>
      </c>
      <c r="J96">
        <v>0</v>
      </c>
      <c r="K96">
        <v>302</v>
      </c>
      <c r="L96">
        <v>12</v>
      </c>
      <c r="M96">
        <v>0</v>
      </c>
      <c r="N96" t="s">
        <v>6</v>
      </c>
      <c r="O96">
        <v>21</v>
      </c>
      <c r="P96">
        <v>31</v>
      </c>
      <c r="Q96">
        <v>36</v>
      </c>
      <c r="R96">
        <v>53</v>
      </c>
      <c r="S96">
        <v>78</v>
      </c>
      <c r="T96">
        <v>83</v>
      </c>
      <c r="U96">
        <v>334</v>
      </c>
      <c r="V96">
        <v>5</v>
      </c>
      <c r="W96">
        <f t="shared" si="38"/>
        <v>-10.5</v>
      </c>
      <c r="X96">
        <f t="shared" si="39"/>
        <v>4</v>
      </c>
      <c r="Y96">
        <f t="shared" si="40"/>
        <v>2</v>
      </c>
      <c r="Z96">
        <f t="shared" si="41"/>
        <v>2</v>
      </c>
      <c r="AA96">
        <f t="shared" si="42"/>
        <v>0</v>
      </c>
      <c r="AB96">
        <f t="shared" si="43"/>
        <v>0</v>
      </c>
      <c r="AC96">
        <f t="shared" si="44"/>
        <v>0</v>
      </c>
      <c r="AD96">
        <f t="shared" si="45"/>
        <v>126.5</v>
      </c>
      <c r="AE96">
        <f t="shared" si="46"/>
        <v>225</v>
      </c>
      <c r="AF96">
        <f t="shared" si="47"/>
        <v>0</v>
      </c>
      <c r="AG96">
        <f t="shared" si="48"/>
        <v>-32</v>
      </c>
      <c r="AH96">
        <f t="shared" si="49"/>
        <v>-4</v>
      </c>
      <c r="AI96">
        <f t="shared" si="50"/>
        <v>0</v>
      </c>
      <c r="AJ96">
        <f t="shared" si="51"/>
        <v>0</v>
      </c>
      <c r="AK96">
        <f t="shared" si="52"/>
        <v>0</v>
      </c>
      <c r="AL96">
        <f t="shared" si="53"/>
        <v>8</v>
      </c>
      <c r="AM96">
        <f t="shared" si="54"/>
        <v>323.5</v>
      </c>
      <c r="AN96">
        <f t="shared" si="55"/>
        <v>396</v>
      </c>
      <c r="AO96" s="1">
        <f t="shared" si="56"/>
        <v>0.81691919191919193</v>
      </c>
    </row>
    <row r="97" spans="1:41" x14ac:dyDescent="0.25">
      <c r="A97" t="s">
        <v>1</v>
      </c>
      <c r="B97">
        <v>5</v>
      </c>
      <c r="C97">
        <v>160</v>
      </c>
      <c r="D97">
        <v>43</v>
      </c>
      <c r="E97">
        <v>2</v>
      </c>
      <c r="F97">
        <v>42</v>
      </c>
      <c r="G97">
        <v>5</v>
      </c>
      <c r="H97">
        <v>0</v>
      </c>
      <c r="I97">
        <v>0</v>
      </c>
      <c r="J97">
        <v>0</v>
      </c>
      <c r="K97">
        <v>296</v>
      </c>
      <c r="L97">
        <v>12</v>
      </c>
      <c r="M97">
        <v>0</v>
      </c>
      <c r="N97" t="s">
        <v>5</v>
      </c>
      <c r="O97">
        <v>11</v>
      </c>
      <c r="P97">
        <v>36</v>
      </c>
      <c r="Q97">
        <v>83</v>
      </c>
      <c r="R97">
        <v>83</v>
      </c>
      <c r="S97">
        <v>83</v>
      </c>
      <c r="T97" t="s">
        <v>39</v>
      </c>
      <c r="U97">
        <v>334</v>
      </c>
      <c r="V97">
        <v>2</v>
      </c>
      <c r="W97">
        <f t="shared" si="38"/>
        <v>-127</v>
      </c>
      <c r="X97">
        <f t="shared" si="39"/>
        <v>6</v>
      </c>
      <c r="Y97">
        <f t="shared" si="40"/>
        <v>2</v>
      </c>
      <c r="Z97">
        <f t="shared" si="41"/>
        <v>0</v>
      </c>
      <c r="AA97">
        <f t="shared" si="42"/>
        <v>0</v>
      </c>
      <c r="AB97">
        <f t="shared" si="43"/>
        <v>0</v>
      </c>
      <c r="AC97">
        <f t="shared" si="44"/>
        <v>0</v>
      </c>
      <c r="AD97">
        <f t="shared" si="45"/>
        <v>80</v>
      </c>
      <c r="AE97">
        <f t="shared" si="46"/>
        <v>129</v>
      </c>
      <c r="AF97">
        <f t="shared" si="47"/>
        <v>16</v>
      </c>
      <c r="AG97">
        <f t="shared" si="48"/>
        <v>-21</v>
      </c>
      <c r="AH97">
        <f t="shared" si="49"/>
        <v>-5</v>
      </c>
      <c r="AI97">
        <f t="shared" si="50"/>
        <v>0</v>
      </c>
      <c r="AJ97">
        <f t="shared" si="51"/>
        <v>0</v>
      </c>
      <c r="AK97">
        <f t="shared" si="52"/>
        <v>0</v>
      </c>
      <c r="AL97">
        <f t="shared" si="53"/>
        <v>8</v>
      </c>
      <c r="AM97">
        <f t="shared" si="54"/>
        <v>207</v>
      </c>
      <c r="AN97">
        <f t="shared" si="55"/>
        <v>252</v>
      </c>
      <c r="AO97" s="1">
        <f t="shared" si="56"/>
        <v>0.8214285714285714</v>
      </c>
    </row>
    <row r="98" spans="1:41" x14ac:dyDescent="0.25">
      <c r="A98" t="s">
        <v>3</v>
      </c>
      <c r="B98">
        <v>6</v>
      </c>
      <c r="C98">
        <v>225</v>
      </c>
      <c r="D98">
        <v>71</v>
      </c>
      <c r="E98">
        <v>1</v>
      </c>
      <c r="F98">
        <v>54</v>
      </c>
      <c r="G98">
        <v>9</v>
      </c>
      <c r="H98">
        <v>0</v>
      </c>
      <c r="I98">
        <v>1</v>
      </c>
      <c r="J98">
        <v>0</v>
      </c>
      <c r="K98">
        <v>310</v>
      </c>
      <c r="L98">
        <v>13</v>
      </c>
      <c r="M98">
        <v>0</v>
      </c>
      <c r="N98" t="s">
        <v>5</v>
      </c>
      <c r="O98">
        <v>10</v>
      </c>
      <c r="P98">
        <v>25</v>
      </c>
      <c r="Q98">
        <v>51</v>
      </c>
      <c r="R98">
        <v>58</v>
      </c>
      <c r="S98">
        <v>83</v>
      </c>
      <c r="T98">
        <v>83</v>
      </c>
      <c r="U98">
        <v>325</v>
      </c>
      <c r="V98">
        <v>4</v>
      </c>
      <c r="W98">
        <f t="shared" ref="W98:W105" si="57">AM98-U98</f>
        <v>-11.5</v>
      </c>
      <c r="X98">
        <f t="shared" ref="X98:X105" si="58">IF(O98=1,50,IF(O98=2,25,IF(O98=3,18,IF(O98=4,16,IF(O98=5,14,IF(O98=6,12,IF(O98=7,10,IF(O98=8,9,IF(O98=10,7,IF(O98&lt;=15,6,IF(O98&lt;=20,5,IF(O98&lt;=25,4,IF(O98&lt;=30,3,IF(O98&lt;=40,2,IF(O98&lt;=50,1,IF(O98&gt;50,0))))))))))))))))</f>
        <v>7</v>
      </c>
      <c r="Y98">
        <f t="shared" ref="Y98:Y105" si="59">IF(P98=1,50,IF(P98=2,25,IF(P98=3,18,IF(P98=4,16,IF(P98=5,14,IF(P98=6,12,IF(P98=7,10,IF(P98=8,9,IF(P98=10,7,IF(P98&lt;=15,6,IF(P98&lt;=20,5,IF(P98&lt;=25,4,IF(P98&lt;=30,3,IF(P98&lt;=40,2,IF(P98&lt;=50,1,IF(P98&gt;50,0))))))))))))))))</f>
        <v>4</v>
      </c>
      <c r="Z98">
        <f t="shared" ref="Z98:Z105" si="60">IF(Q98=1,50,IF(Q98=2,25,IF(Q98=3,18,IF(Q98=4,16,IF(Q98=5,14,IF(Q98=6,12,IF(Q98=7,10,IF(Q98=8,9,IF(Q98=10,7,IF(Q98&lt;=15,6,IF(Q98&lt;=20,5,IF(Q98&lt;=25,4,IF(Q98&lt;=30,3,IF(Q98&lt;=40,2,IF(Q98&lt;=50,1,IF(Q98&gt;50,0))))))))))))))))</f>
        <v>0</v>
      </c>
      <c r="AA98">
        <f t="shared" ref="AA98:AA105" si="61">IF(R98=1,50,IF(R98=2,25,IF(R98=3,18,IF(R98=4,16,IF(R98=5,14,IF(R98=6,12,IF(R98=7,10,IF(R98=8,9,IF(R98=10,7,IF(R98&lt;=15,6,IF(R98&lt;=20,5,IF(R98&lt;=25,4,IF(R98&lt;=30,3,IF(R98&lt;=40,2,IF(R98&lt;=50,1,IF(R98&gt;50,0))))))))))))))))</f>
        <v>0</v>
      </c>
      <c r="AB98">
        <f t="shared" ref="AB98:AB105" si="62">IF(S98=1,50,IF(S98=2,25,IF(S98=3,18,IF(S98=4,16,IF(S98=5,14,IF(S98=6,12,IF(S98=7,10,IF(S98=8,9,IF(S98=10,7,IF(S98&lt;=15,6,IF(S98&lt;=20,5,IF(S98&lt;=25,4,IF(S98&lt;=30,3,IF(S98&lt;=40,2,IF(S98&lt;=50,1,IF(S98&gt;50,0))))))))))))))))</f>
        <v>0</v>
      </c>
      <c r="AC98">
        <f t="shared" ref="AC98:AC105" si="63">IF(T98=1,50,IF(T98=2,25,IF(T98=3,18,IF(T98=4,16,IF(T98=5,14,IF(T98=6,12,IF(T98=7,10,IF(T98=8,9,IF(T98=10,7,IF(T98&lt;=15,6,IF(T98&lt;=20,5,IF(T98&lt;=25,4,IF(T98&lt;=30,3,IF(T98&lt;=40,2,IF(T98&lt;=50,1,IF(T98&gt;50,0))))))))))))))))</f>
        <v>0</v>
      </c>
      <c r="AD98">
        <f t="shared" ref="AD98:AD105" si="64">C98*0.5</f>
        <v>112.5</v>
      </c>
      <c r="AE98">
        <f t="shared" ref="AE98:AE105" si="65">D98*3</f>
        <v>213</v>
      </c>
      <c r="AF98">
        <f t="shared" ref="AF98:AF105" si="66">E98*8</f>
        <v>8</v>
      </c>
      <c r="AG98">
        <f t="shared" ref="AG98:AG105" si="67">-1*(F98/2)</f>
        <v>-27</v>
      </c>
      <c r="AH98">
        <f t="shared" ref="AH98:AH105" si="68">G98*-1</f>
        <v>-9</v>
      </c>
      <c r="AI98">
        <f t="shared" ref="AI98:AI105" si="69">H98*13</f>
        <v>0</v>
      </c>
      <c r="AJ98">
        <f t="shared" ref="AJ98:AJ105" si="70">I98*5</f>
        <v>5</v>
      </c>
      <c r="AK98">
        <f t="shared" ref="AK98:AK105" si="71">J98*-1</f>
        <v>0</v>
      </c>
      <c r="AL98">
        <f t="shared" ref="AL98:AL105" si="72">SUM(X98:AC98)</f>
        <v>11</v>
      </c>
      <c r="AM98">
        <f t="shared" ref="AM98:AM105" si="73">SUM(AD98:AL98)</f>
        <v>313.5</v>
      </c>
      <c r="AN98">
        <f t="shared" ref="AN98:AN105" si="74">SUM(C98:G98,J98)</f>
        <v>360</v>
      </c>
      <c r="AO98" s="1">
        <f t="shared" ref="AO98:AO105" si="75">AM98/AN98</f>
        <v>0.87083333333333335</v>
      </c>
    </row>
    <row r="99" spans="1:41" x14ac:dyDescent="0.25">
      <c r="A99" t="s">
        <v>6</v>
      </c>
      <c r="B99">
        <v>6</v>
      </c>
      <c r="C99">
        <v>233</v>
      </c>
      <c r="D99">
        <v>79</v>
      </c>
      <c r="E99">
        <v>0</v>
      </c>
      <c r="F99">
        <v>41</v>
      </c>
      <c r="G99">
        <v>7</v>
      </c>
      <c r="H99">
        <v>0</v>
      </c>
      <c r="I99">
        <v>0</v>
      </c>
      <c r="J99">
        <v>0</v>
      </c>
      <c r="K99">
        <v>253</v>
      </c>
      <c r="L99">
        <v>13</v>
      </c>
      <c r="M99">
        <v>1</v>
      </c>
      <c r="N99" t="s">
        <v>2</v>
      </c>
      <c r="O99">
        <v>1</v>
      </c>
      <c r="P99">
        <v>14</v>
      </c>
      <c r="Q99">
        <v>14</v>
      </c>
      <c r="R99">
        <v>58</v>
      </c>
      <c r="S99">
        <v>83</v>
      </c>
      <c r="T99">
        <v>83</v>
      </c>
      <c r="U99">
        <v>325</v>
      </c>
      <c r="V99">
        <v>4</v>
      </c>
      <c r="W99">
        <f t="shared" si="57"/>
        <v>63</v>
      </c>
      <c r="X99">
        <f t="shared" si="58"/>
        <v>50</v>
      </c>
      <c r="Y99">
        <f t="shared" si="59"/>
        <v>6</v>
      </c>
      <c r="Z99">
        <f t="shared" si="60"/>
        <v>6</v>
      </c>
      <c r="AA99">
        <f t="shared" si="61"/>
        <v>0</v>
      </c>
      <c r="AB99">
        <f t="shared" si="62"/>
        <v>0</v>
      </c>
      <c r="AC99">
        <f t="shared" si="63"/>
        <v>0</v>
      </c>
      <c r="AD99">
        <f t="shared" si="64"/>
        <v>116.5</v>
      </c>
      <c r="AE99">
        <f t="shared" si="65"/>
        <v>237</v>
      </c>
      <c r="AF99">
        <f t="shared" si="66"/>
        <v>0</v>
      </c>
      <c r="AG99">
        <f t="shared" si="67"/>
        <v>-20.5</v>
      </c>
      <c r="AH99">
        <f t="shared" si="68"/>
        <v>-7</v>
      </c>
      <c r="AI99">
        <f t="shared" si="69"/>
        <v>0</v>
      </c>
      <c r="AJ99">
        <f t="shared" si="70"/>
        <v>0</v>
      </c>
      <c r="AK99">
        <f t="shared" si="71"/>
        <v>0</v>
      </c>
      <c r="AL99">
        <f t="shared" si="72"/>
        <v>62</v>
      </c>
      <c r="AM99">
        <f t="shared" si="73"/>
        <v>388</v>
      </c>
      <c r="AN99">
        <f t="shared" si="74"/>
        <v>360</v>
      </c>
      <c r="AO99" s="1">
        <f t="shared" si="75"/>
        <v>1.0777777777777777</v>
      </c>
    </row>
    <row r="100" spans="1:41" x14ac:dyDescent="0.25">
      <c r="A100" t="s">
        <v>5</v>
      </c>
      <c r="B100">
        <v>6</v>
      </c>
      <c r="C100">
        <v>270</v>
      </c>
      <c r="D100">
        <v>94</v>
      </c>
      <c r="E100">
        <v>0</v>
      </c>
      <c r="F100">
        <v>63</v>
      </c>
      <c r="G100">
        <v>5</v>
      </c>
      <c r="H100">
        <v>0</v>
      </c>
      <c r="I100">
        <v>0</v>
      </c>
      <c r="J100">
        <v>0</v>
      </c>
      <c r="K100">
        <v>168</v>
      </c>
      <c r="L100">
        <v>13</v>
      </c>
      <c r="M100">
        <v>1</v>
      </c>
      <c r="N100" t="s">
        <v>3</v>
      </c>
      <c r="O100">
        <v>4</v>
      </c>
      <c r="P100">
        <v>14</v>
      </c>
      <c r="Q100">
        <v>14</v>
      </c>
      <c r="R100">
        <v>25</v>
      </c>
      <c r="S100">
        <v>33</v>
      </c>
      <c r="T100">
        <v>78</v>
      </c>
      <c r="U100">
        <v>325</v>
      </c>
      <c r="V100">
        <v>6</v>
      </c>
      <c r="W100">
        <f t="shared" si="57"/>
        <v>89.5</v>
      </c>
      <c r="X100">
        <f t="shared" si="58"/>
        <v>16</v>
      </c>
      <c r="Y100">
        <f t="shared" si="59"/>
        <v>6</v>
      </c>
      <c r="Z100">
        <f t="shared" si="60"/>
        <v>6</v>
      </c>
      <c r="AA100">
        <f t="shared" si="61"/>
        <v>4</v>
      </c>
      <c r="AB100">
        <f t="shared" si="62"/>
        <v>2</v>
      </c>
      <c r="AC100">
        <f t="shared" si="63"/>
        <v>0</v>
      </c>
      <c r="AD100">
        <f t="shared" si="64"/>
        <v>135</v>
      </c>
      <c r="AE100">
        <f t="shared" si="65"/>
        <v>282</v>
      </c>
      <c r="AF100">
        <f t="shared" si="66"/>
        <v>0</v>
      </c>
      <c r="AG100">
        <f t="shared" si="67"/>
        <v>-31.5</v>
      </c>
      <c r="AH100">
        <f t="shared" si="68"/>
        <v>-5</v>
      </c>
      <c r="AI100">
        <f t="shared" si="69"/>
        <v>0</v>
      </c>
      <c r="AJ100">
        <f t="shared" si="70"/>
        <v>0</v>
      </c>
      <c r="AK100">
        <f t="shared" si="71"/>
        <v>0</v>
      </c>
      <c r="AL100">
        <f t="shared" si="72"/>
        <v>34</v>
      </c>
      <c r="AM100">
        <f t="shared" si="73"/>
        <v>414.5</v>
      </c>
      <c r="AN100">
        <f t="shared" si="74"/>
        <v>432</v>
      </c>
      <c r="AO100" s="1">
        <f t="shared" si="75"/>
        <v>0.9594907407407407</v>
      </c>
    </row>
    <row r="101" spans="1:41" x14ac:dyDescent="0.25">
      <c r="A101" t="s">
        <v>0</v>
      </c>
      <c r="B101">
        <v>6</v>
      </c>
      <c r="C101">
        <v>234</v>
      </c>
      <c r="D101">
        <v>60</v>
      </c>
      <c r="E101">
        <v>0</v>
      </c>
      <c r="F101">
        <v>57</v>
      </c>
      <c r="G101">
        <v>8</v>
      </c>
      <c r="H101">
        <v>0</v>
      </c>
      <c r="I101">
        <v>0</v>
      </c>
      <c r="J101">
        <v>1</v>
      </c>
      <c r="K101">
        <v>364</v>
      </c>
      <c r="L101">
        <v>13</v>
      </c>
      <c r="M101">
        <v>0</v>
      </c>
      <c r="N101" t="s">
        <v>4</v>
      </c>
      <c r="O101">
        <v>14</v>
      </c>
      <c r="P101">
        <v>25</v>
      </c>
      <c r="Q101">
        <v>78</v>
      </c>
      <c r="R101">
        <v>81</v>
      </c>
      <c r="S101">
        <v>83</v>
      </c>
      <c r="T101">
        <v>83</v>
      </c>
      <c r="U101">
        <v>325</v>
      </c>
      <c r="V101">
        <v>4</v>
      </c>
      <c r="W101">
        <f t="shared" si="57"/>
        <v>-55.5</v>
      </c>
      <c r="X101">
        <f t="shared" si="58"/>
        <v>6</v>
      </c>
      <c r="Y101">
        <f t="shared" si="59"/>
        <v>4</v>
      </c>
      <c r="Z101">
        <f t="shared" si="60"/>
        <v>0</v>
      </c>
      <c r="AA101">
        <f t="shared" si="61"/>
        <v>0</v>
      </c>
      <c r="AB101">
        <f t="shared" si="62"/>
        <v>0</v>
      </c>
      <c r="AC101">
        <f t="shared" si="63"/>
        <v>0</v>
      </c>
      <c r="AD101">
        <f t="shared" si="64"/>
        <v>117</v>
      </c>
      <c r="AE101">
        <f t="shared" si="65"/>
        <v>180</v>
      </c>
      <c r="AF101">
        <f t="shared" si="66"/>
        <v>0</v>
      </c>
      <c r="AG101">
        <f t="shared" si="67"/>
        <v>-28.5</v>
      </c>
      <c r="AH101">
        <f t="shared" si="68"/>
        <v>-8</v>
      </c>
      <c r="AI101">
        <f t="shared" si="69"/>
        <v>0</v>
      </c>
      <c r="AJ101">
        <f t="shared" si="70"/>
        <v>0</v>
      </c>
      <c r="AK101">
        <f t="shared" si="71"/>
        <v>-1</v>
      </c>
      <c r="AL101">
        <f t="shared" si="72"/>
        <v>10</v>
      </c>
      <c r="AM101">
        <f t="shared" si="73"/>
        <v>269.5</v>
      </c>
      <c r="AN101">
        <f t="shared" si="74"/>
        <v>360</v>
      </c>
      <c r="AO101" s="1">
        <f t="shared" si="75"/>
        <v>0.74861111111111112</v>
      </c>
    </row>
    <row r="102" spans="1:41" x14ac:dyDescent="0.25">
      <c r="A102" t="s">
        <v>7</v>
      </c>
      <c r="B102">
        <v>6</v>
      </c>
      <c r="C102">
        <v>230</v>
      </c>
      <c r="D102">
        <v>68</v>
      </c>
      <c r="E102">
        <v>1</v>
      </c>
      <c r="F102">
        <v>52</v>
      </c>
      <c r="G102">
        <v>8</v>
      </c>
      <c r="H102">
        <v>0</v>
      </c>
      <c r="I102">
        <v>0</v>
      </c>
      <c r="J102">
        <v>1</v>
      </c>
      <c r="K102">
        <v>286</v>
      </c>
      <c r="L102">
        <v>13</v>
      </c>
      <c r="M102">
        <v>0</v>
      </c>
      <c r="N102" t="s">
        <v>1</v>
      </c>
      <c r="O102">
        <v>3</v>
      </c>
      <c r="P102">
        <v>14</v>
      </c>
      <c r="Q102">
        <v>45</v>
      </c>
      <c r="R102">
        <v>58</v>
      </c>
      <c r="S102">
        <v>83</v>
      </c>
      <c r="T102">
        <v>83</v>
      </c>
      <c r="U102">
        <v>325</v>
      </c>
      <c r="V102">
        <v>3</v>
      </c>
      <c r="W102">
        <f t="shared" si="57"/>
        <v>-8</v>
      </c>
      <c r="X102">
        <f t="shared" si="58"/>
        <v>18</v>
      </c>
      <c r="Y102">
        <f t="shared" si="59"/>
        <v>6</v>
      </c>
      <c r="Z102">
        <f t="shared" si="60"/>
        <v>1</v>
      </c>
      <c r="AA102">
        <f t="shared" si="61"/>
        <v>0</v>
      </c>
      <c r="AB102">
        <f t="shared" si="62"/>
        <v>0</v>
      </c>
      <c r="AC102">
        <f t="shared" si="63"/>
        <v>0</v>
      </c>
      <c r="AD102">
        <f t="shared" si="64"/>
        <v>115</v>
      </c>
      <c r="AE102">
        <f t="shared" si="65"/>
        <v>204</v>
      </c>
      <c r="AF102">
        <f t="shared" si="66"/>
        <v>8</v>
      </c>
      <c r="AG102">
        <f t="shared" si="67"/>
        <v>-26</v>
      </c>
      <c r="AH102">
        <f t="shared" si="68"/>
        <v>-8</v>
      </c>
      <c r="AI102">
        <f t="shared" si="69"/>
        <v>0</v>
      </c>
      <c r="AJ102">
        <f t="shared" si="70"/>
        <v>0</v>
      </c>
      <c r="AK102">
        <f t="shared" si="71"/>
        <v>-1</v>
      </c>
      <c r="AL102">
        <f t="shared" si="72"/>
        <v>25</v>
      </c>
      <c r="AM102">
        <f t="shared" si="73"/>
        <v>317</v>
      </c>
      <c r="AN102">
        <f t="shared" si="74"/>
        <v>360</v>
      </c>
      <c r="AO102" s="1">
        <f t="shared" si="75"/>
        <v>0.88055555555555554</v>
      </c>
    </row>
    <row r="103" spans="1:41" x14ac:dyDescent="0.25">
      <c r="A103" t="s">
        <v>2</v>
      </c>
      <c r="B103">
        <v>6</v>
      </c>
      <c r="C103">
        <v>174</v>
      </c>
      <c r="D103">
        <v>55</v>
      </c>
      <c r="E103">
        <v>1</v>
      </c>
      <c r="F103">
        <v>50</v>
      </c>
      <c r="G103">
        <v>8</v>
      </c>
      <c r="H103">
        <v>0</v>
      </c>
      <c r="I103">
        <v>0</v>
      </c>
      <c r="J103">
        <v>0</v>
      </c>
      <c r="K103">
        <v>376</v>
      </c>
      <c r="L103">
        <v>13</v>
      </c>
      <c r="M103">
        <v>0</v>
      </c>
      <c r="N103" t="s">
        <v>6</v>
      </c>
      <c r="O103">
        <v>5</v>
      </c>
      <c r="P103">
        <v>39</v>
      </c>
      <c r="Q103">
        <v>83</v>
      </c>
      <c r="R103">
        <v>83</v>
      </c>
      <c r="S103">
        <v>83</v>
      </c>
      <c r="T103">
        <v>83</v>
      </c>
      <c r="U103">
        <v>325</v>
      </c>
      <c r="V103">
        <v>2</v>
      </c>
      <c r="W103">
        <f t="shared" si="57"/>
        <v>-82</v>
      </c>
      <c r="X103">
        <f t="shared" si="58"/>
        <v>14</v>
      </c>
      <c r="Y103">
        <f t="shared" si="59"/>
        <v>2</v>
      </c>
      <c r="Z103">
        <f t="shared" si="60"/>
        <v>0</v>
      </c>
      <c r="AA103">
        <f t="shared" si="61"/>
        <v>0</v>
      </c>
      <c r="AB103">
        <f t="shared" si="62"/>
        <v>0</v>
      </c>
      <c r="AC103">
        <f t="shared" si="63"/>
        <v>0</v>
      </c>
      <c r="AD103">
        <f t="shared" si="64"/>
        <v>87</v>
      </c>
      <c r="AE103">
        <f t="shared" si="65"/>
        <v>165</v>
      </c>
      <c r="AF103">
        <f t="shared" si="66"/>
        <v>8</v>
      </c>
      <c r="AG103">
        <f t="shared" si="67"/>
        <v>-25</v>
      </c>
      <c r="AH103">
        <f t="shared" si="68"/>
        <v>-8</v>
      </c>
      <c r="AI103">
        <f t="shared" si="69"/>
        <v>0</v>
      </c>
      <c r="AJ103">
        <f t="shared" si="70"/>
        <v>0</v>
      </c>
      <c r="AK103">
        <f t="shared" si="71"/>
        <v>0</v>
      </c>
      <c r="AL103">
        <f t="shared" si="72"/>
        <v>16</v>
      </c>
      <c r="AM103">
        <f t="shared" si="73"/>
        <v>243</v>
      </c>
      <c r="AN103">
        <f t="shared" si="74"/>
        <v>288</v>
      </c>
      <c r="AO103" s="1">
        <f t="shared" si="75"/>
        <v>0.84375</v>
      </c>
    </row>
    <row r="104" spans="1:41" x14ac:dyDescent="0.25">
      <c r="A104" t="s">
        <v>4</v>
      </c>
      <c r="B104">
        <v>6</v>
      </c>
      <c r="C104">
        <v>258</v>
      </c>
      <c r="D104">
        <v>70</v>
      </c>
      <c r="E104">
        <v>1</v>
      </c>
      <c r="F104">
        <v>63</v>
      </c>
      <c r="G104">
        <v>4</v>
      </c>
      <c r="H104">
        <v>0</v>
      </c>
      <c r="I104">
        <v>0</v>
      </c>
      <c r="J104">
        <v>0</v>
      </c>
      <c r="K104">
        <v>289</v>
      </c>
      <c r="L104">
        <v>13</v>
      </c>
      <c r="M104">
        <v>1</v>
      </c>
      <c r="N104" t="s">
        <v>0</v>
      </c>
      <c r="O104">
        <v>5</v>
      </c>
      <c r="P104">
        <v>10</v>
      </c>
      <c r="Q104">
        <v>58</v>
      </c>
      <c r="R104">
        <v>58</v>
      </c>
      <c r="S104">
        <v>73</v>
      </c>
      <c r="T104">
        <v>83</v>
      </c>
      <c r="U104">
        <v>325</v>
      </c>
      <c r="V104">
        <v>5</v>
      </c>
      <c r="W104">
        <f t="shared" si="57"/>
        <v>7.5</v>
      </c>
      <c r="X104">
        <f t="shared" si="58"/>
        <v>14</v>
      </c>
      <c r="Y104">
        <f t="shared" si="59"/>
        <v>7</v>
      </c>
      <c r="Z104">
        <f t="shared" si="60"/>
        <v>0</v>
      </c>
      <c r="AA104">
        <f t="shared" si="61"/>
        <v>0</v>
      </c>
      <c r="AB104">
        <f t="shared" si="62"/>
        <v>0</v>
      </c>
      <c r="AC104">
        <f t="shared" si="63"/>
        <v>0</v>
      </c>
      <c r="AD104">
        <f t="shared" si="64"/>
        <v>129</v>
      </c>
      <c r="AE104">
        <f t="shared" si="65"/>
        <v>210</v>
      </c>
      <c r="AF104">
        <f t="shared" si="66"/>
        <v>8</v>
      </c>
      <c r="AG104">
        <f t="shared" si="67"/>
        <v>-31.5</v>
      </c>
      <c r="AH104">
        <f t="shared" si="68"/>
        <v>-4</v>
      </c>
      <c r="AI104">
        <f t="shared" si="69"/>
        <v>0</v>
      </c>
      <c r="AJ104">
        <f t="shared" si="70"/>
        <v>0</v>
      </c>
      <c r="AK104">
        <f t="shared" si="71"/>
        <v>0</v>
      </c>
      <c r="AL104">
        <f t="shared" si="72"/>
        <v>21</v>
      </c>
      <c r="AM104">
        <f t="shared" si="73"/>
        <v>332.5</v>
      </c>
      <c r="AN104">
        <f t="shared" si="74"/>
        <v>396</v>
      </c>
      <c r="AO104" s="1">
        <f t="shared" si="75"/>
        <v>0.83964646464646464</v>
      </c>
    </row>
    <row r="105" spans="1:41" x14ac:dyDescent="0.25">
      <c r="A105" t="s">
        <v>1</v>
      </c>
      <c r="B105">
        <v>6</v>
      </c>
      <c r="C105">
        <v>282</v>
      </c>
      <c r="D105">
        <v>95</v>
      </c>
      <c r="E105">
        <v>3</v>
      </c>
      <c r="F105">
        <v>51</v>
      </c>
      <c r="G105">
        <v>1</v>
      </c>
      <c r="H105">
        <v>0</v>
      </c>
      <c r="I105">
        <v>0</v>
      </c>
      <c r="J105">
        <v>0</v>
      </c>
      <c r="K105">
        <v>87</v>
      </c>
      <c r="L105">
        <v>13</v>
      </c>
      <c r="M105">
        <v>1</v>
      </c>
      <c r="N105" t="s">
        <v>7</v>
      </c>
      <c r="O105">
        <v>2</v>
      </c>
      <c r="P105">
        <v>7</v>
      </c>
      <c r="Q105">
        <v>7</v>
      </c>
      <c r="R105">
        <v>14</v>
      </c>
      <c r="S105">
        <v>25</v>
      </c>
      <c r="T105">
        <v>33</v>
      </c>
      <c r="U105">
        <v>325</v>
      </c>
      <c r="V105">
        <v>6</v>
      </c>
      <c r="W105">
        <f t="shared" si="57"/>
        <v>155.5</v>
      </c>
      <c r="X105">
        <f t="shared" si="58"/>
        <v>25</v>
      </c>
      <c r="Y105">
        <f t="shared" si="59"/>
        <v>10</v>
      </c>
      <c r="Z105">
        <f t="shared" si="60"/>
        <v>10</v>
      </c>
      <c r="AA105">
        <f t="shared" si="61"/>
        <v>6</v>
      </c>
      <c r="AB105">
        <f t="shared" si="62"/>
        <v>4</v>
      </c>
      <c r="AC105">
        <f t="shared" si="63"/>
        <v>2</v>
      </c>
      <c r="AD105">
        <f t="shared" si="64"/>
        <v>141</v>
      </c>
      <c r="AE105">
        <f t="shared" si="65"/>
        <v>285</v>
      </c>
      <c r="AF105">
        <f t="shared" si="66"/>
        <v>24</v>
      </c>
      <c r="AG105">
        <f t="shared" si="67"/>
        <v>-25.5</v>
      </c>
      <c r="AH105">
        <f t="shared" si="68"/>
        <v>-1</v>
      </c>
      <c r="AI105">
        <f t="shared" si="69"/>
        <v>0</v>
      </c>
      <c r="AJ105">
        <f t="shared" si="70"/>
        <v>0</v>
      </c>
      <c r="AK105">
        <f t="shared" si="71"/>
        <v>0</v>
      </c>
      <c r="AL105">
        <f t="shared" si="72"/>
        <v>57</v>
      </c>
      <c r="AM105">
        <f t="shared" si="73"/>
        <v>480.5</v>
      </c>
      <c r="AN105">
        <f t="shared" si="74"/>
        <v>432</v>
      </c>
      <c r="AO105" s="1">
        <f t="shared" si="75"/>
        <v>1.1122685185185186</v>
      </c>
    </row>
    <row r="106" spans="1:41" x14ac:dyDescent="0.25">
      <c r="A106" t="s">
        <v>5</v>
      </c>
      <c r="B106">
        <v>6</v>
      </c>
      <c r="C106">
        <v>253</v>
      </c>
      <c r="D106">
        <v>69</v>
      </c>
      <c r="E106">
        <v>1</v>
      </c>
      <c r="F106">
        <v>65</v>
      </c>
      <c r="G106">
        <v>8</v>
      </c>
      <c r="H106">
        <v>0</v>
      </c>
      <c r="I106">
        <v>0</v>
      </c>
      <c r="J106">
        <v>0</v>
      </c>
      <c r="K106">
        <v>132</v>
      </c>
      <c r="L106">
        <v>14</v>
      </c>
      <c r="M106">
        <v>1</v>
      </c>
      <c r="N106" t="s">
        <v>7</v>
      </c>
      <c r="O106">
        <v>3</v>
      </c>
      <c r="P106">
        <v>6</v>
      </c>
      <c r="Q106">
        <v>9</v>
      </c>
      <c r="R106">
        <v>16</v>
      </c>
      <c r="S106">
        <v>38</v>
      </c>
      <c r="T106">
        <v>60</v>
      </c>
      <c r="U106">
        <v>320</v>
      </c>
      <c r="V106">
        <v>5</v>
      </c>
      <c r="W106">
        <f t="shared" ref="W106:W113" si="76">AM106-U106</f>
        <v>24</v>
      </c>
      <c r="X106">
        <f t="shared" ref="X106:X113" si="77">IF(O106=1,50,IF(O106=2,25,IF(O106=3,18,IF(O106=4,16,IF(O106=5,14,IF(O106=6,12,IF(O106=7,10,IF(O106=8,9,IF(O106=10,7,IF(O106&lt;=15,6,IF(O106&lt;=20,5,IF(O106&lt;=25,4,IF(O106&lt;=30,3,IF(O106&lt;=40,2,IF(O106&lt;=50,1,IF(O106&gt;50,0))))))))))))))))</f>
        <v>18</v>
      </c>
      <c r="Y106">
        <f t="shared" ref="Y106:Y113" si="78">IF(P106=1,50,IF(P106=2,25,IF(P106=3,18,IF(P106=4,16,IF(P106=5,14,IF(P106=6,12,IF(P106=7,10,IF(P106=8,9,IF(P106=10,7,IF(P106&lt;=15,6,IF(P106&lt;=20,5,IF(P106&lt;=25,4,IF(P106&lt;=30,3,IF(P106&lt;=40,2,IF(P106&lt;=50,1,IF(P106&gt;50,0))))))))))))))))</f>
        <v>12</v>
      </c>
      <c r="Z106">
        <f t="shared" ref="Z106:Z113" si="79">IF(Q106=1,50,IF(Q106=2,25,IF(Q106=3,18,IF(Q106=4,16,IF(Q106=5,14,IF(Q106=6,12,IF(Q106=7,10,IF(Q106=8,9,IF(Q106=10,7,IF(Q106&lt;=15,6,IF(Q106&lt;=20,5,IF(Q106&lt;=25,4,IF(Q106&lt;=30,3,IF(Q106&lt;=40,2,IF(Q106&lt;=50,1,IF(Q106&gt;50,0))))))))))))))))</f>
        <v>6</v>
      </c>
      <c r="AA106">
        <f t="shared" ref="AA106:AA113" si="80">IF(R106=1,50,IF(R106=2,25,IF(R106=3,18,IF(R106=4,16,IF(R106=5,14,IF(R106=6,12,IF(R106=7,10,IF(R106=8,9,IF(R106=10,7,IF(R106&lt;=15,6,IF(R106&lt;=20,5,IF(R106&lt;=25,4,IF(R106&lt;=30,3,IF(R106&lt;=40,2,IF(R106&lt;=50,1,IF(R106&gt;50,0))))))))))))))))</f>
        <v>5</v>
      </c>
      <c r="AB106">
        <f t="shared" ref="AB106:AB113" si="81">IF(S106=1,50,IF(S106=2,25,IF(S106=3,18,IF(S106=4,16,IF(S106=5,14,IF(S106=6,12,IF(S106=7,10,IF(S106=8,9,IF(S106=10,7,IF(S106&lt;=15,6,IF(S106&lt;=20,5,IF(S106&lt;=25,4,IF(S106&lt;=30,3,IF(S106&lt;=40,2,IF(S106&lt;=50,1,IF(S106&gt;50,0))))))))))))))))</f>
        <v>2</v>
      </c>
      <c r="AC106">
        <f t="shared" ref="AC106:AC113" si="82">IF(T106=1,50,IF(T106=2,25,IF(T106=3,18,IF(T106=4,16,IF(T106=5,14,IF(T106=6,12,IF(T106=7,10,IF(T106=8,9,IF(T106=10,7,IF(T106&lt;=15,6,IF(T106&lt;=20,5,IF(T106&lt;=25,4,IF(T106&lt;=30,3,IF(T106&lt;=40,2,IF(T106&lt;=50,1,IF(T106&gt;50,0))))))))))))))))</f>
        <v>0</v>
      </c>
      <c r="AD106">
        <f t="shared" ref="AD106:AD113" si="83">C106*0.5</f>
        <v>126.5</v>
      </c>
      <c r="AE106">
        <f t="shared" ref="AE106:AE113" si="84">D106*3</f>
        <v>207</v>
      </c>
      <c r="AF106">
        <f t="shared" ref="AF106:AF113" si="85">E106*8</f>
        <v>8</v>
      </c>
      <c r="AG106">
        <f t="shared" ref="AG106:AG113" si="86">-1*(F106/2)</f>
        <v>-32.5</v>
      </c>
      <c r="AH106">
        <f t="shared" ref="AH106:AH113" si="87">G106*-1</f>
        <v>-8</v>
      </c>
      <c r="AI106">
        <f t="shared" ref="AI106:AI113" si="88">H106*13</f>
        <v>0</v>
      </c>
      <c r="AJ106">
        <f t="shared" ref="AJ106:AJ113" si="89">I106*5</f>
        <v>0</v>
      </c>
      <c r="AK106">
        <f t="shared" ref="AK106:AK113" si="90">J106*-1</f>
        <v>0</v>
      </c>
      <c r="AL106">
        <f t="shared" ref="AL106:AL113" si="91">SUM(X106:AC106)</f>
        <v>43</v>
      </c>
      <c r="AM106">
        <f t="shared" ref="AM106:AM113" si="92">SUM(AD106:AL106)</f>
        <v>344</v>
      </c>
      <c r="AN106">
        <f t="shared" ref="AN106:AN113" si="93">SUM(C106:G106,J106)</f>
        <v>396</v>
      </c>
      <c r="AO106" s="1">
        <f t="shared" ref="AO106:AO113" si="94">AM106/AN106</f>
        <v>0.86868686868686873</v>
      </c>
    </row>
    <row r="107" spans="1:41" x14ac:dyDescent="0.25">
      <c r="A107" t="s">
        <v>4</v>
      </c>
      <c r="B107">
        <v>6</v>
      </c>
      <c r="C107">
        <v>228</v>
      </c>
      <c r="D107">
        <v>80</v>
      </c>
      <c r="E107">
        <v>0</v>
      </c>
      <c r="F107">
        <v>78</v>
      </c>
      <c r="G107">
        <v>8</v>
      </c>
      <c r="H107">
        <v>0</v>
      </c>
      <c r="I107">
        <v>0</v>
      </c>
      <c r="J107">
        <v>2</v>
      </c>
      <c r="K107">
        <v>143</v>
      </c>
      <c r="L107">
        <v>14</v>
      </c>
      <c r="M107">
        <v>1</v>
      </c>
      <c r="N107" t="s">
        <v>1</v>
      </c>
      <c r="O107">
        <v>3</v>
      </c>
      <c r="P107">
        <v>6</v>
      </c>
      <c r="Q107">
        <v>22</v>
      </c>
      <c r="R107">
        <v>22</v>
      </c>
      <c r="S107">
        <v>30</v>
      </c>
      <c r="T107">
        <v>60</v>
      </c>
      <c r="U107">
        <v>320</v>
      </c>
      <c r="V107">
        <v>5</v>
      </c>
      <c r="W107">
        <f t="shared" si="76"/>
        <v>26</v>
      </c>
      <c r="X107">
        <f t="shared" si="77"/>
        <v>18</v>
      </c>
      <c r="Y107">
        <f t="shared" si="78"/>
        <v>12</v>
      </c>
      <c r="Z107">
        <f t="shared" si="79"/>
        <v>4</v>
      </c>
      <c r="AA107">
        <f t="shared" si="80"/>
        <v>4</v>
      </c>
      <c r="AB107">
        <f t="shared" si="81"/>
        <v>3</v>
      </c>
      <c r="AC107">
        <f t="shared" si="82"/>
        <v>0</v>
      </c>
      <c r="AD107">
        <f t="shared" si="83"/>
        <v>114</v>
      </c>
      <c r="AE107">
        <f t="shared" si="84"/>
        <v>240</v>
      </c>
      <c r="AF107">
        <f t="shared" si="85"/>
        <v>0</v>
      </c>
      <c r="AG107">
        <f t="shared" si="86"/>
        <v>-39</v>
      </c>
      <c r="AH107">
        <f t="shared" si="87"/>
        <v>-8</v>
      </c>
      <c r="AI107">
        <f t="shared" si="88"/>
        <v>0</v>
      </c>
      <c r="AJ107">
        <f t="shared" si="89"/>
        <v>0</v>
      </c>
      <c r="AK107">
        <f t="shared" si="90"/>
        <v>-2</v>
      </c>
      <c r="AL107">
        <f t="shared" si="91"/>
        <v>41</v>
      </c>
      <c r="AM107">
        <f t="shared" si="92"/>
        <v>346</v>
      </c>
      <c r="AN107">
        <f t="shared" si="93"/>
        <v>396</v>
      </c>
      <c r="AO107" s="1">
        <f t="shared" si="94"/>
        <v>0.8737373737373737</v>
      </c>
    </row>
    <row r="108" spans="1:41" x14ac:dyDescent="0.25">
      <c r="A108" t="s">
        <v>1</v>
      </c>
      <c r="B108">
        <v>6</v>
      </c>
      <c r="C108">
        <v>276</v>
      </c>
      <c r="D108">
        <v>63</v>
      </c>
      <c r="E108">
        <v>3</v>
      </c>
      <c r="F108">
        <v>83</v>
      </c>
      <c r="G108">
        <v>7</v>
      </c>
      <c r="H108">
        <v>0</v>
      </c>
      <c r="I108">
        <v>0</v>
      </c>
      <c r="J108">
        <v>0</v>
      </c>
      <c r="K108">
        <v>173</v>
      </c>
      <c r="L108">
        <v>14</v>
      </c>
      <c r="M108">
        <v>0</v>
      </c>
      <c r="N108" t="s">
        <v>4</v>
      </c>
      <c r="O108">
        <v>3</v>
      </c>
      <c r="P108">
        <v>22</v>
      </c>
      <c r="Q108">
        <v>22</v>
      </c>
      <c r="R108">
        <v>38</v>
      </c>
      <c r="S108">
        <v>43</v>
      </c>
      <c r="T108">
        <v>45</v>
      </c>
      <c r="U108">
        <v>320</v>
      </c>
      <c r="V108">
        <v>6</v>
      </c>
      <c r="W108">
        <f t="shared" si="76"/>
        <v>12.5</v>
      </c>
      <c r="X108">
        <f t="shared" si="77"/>
        <v>18</v>
      </c>
      <c r="Y108">
        <f t="shared" si="78"/>
        <v>4</v>
      </c>
      <c r="Z108">
        <f t="shared" si="79"/>
        <v>4</v>
      </c>
      <c r="AA108">
        <f t="shared" si="80"/>
        <v>2</v>
      </c>
      <c r="AB108">
        <f t="shared" si="81"/>
        <v>1</v>
      </c>
      <c r="AC108">
        <f t="shared" si="82"/>
        <v>1</v>
      </c>
      <c r="AD108">
        <f t="shared" si="83"/>
        <v>138</v>
      </c>
      <c r="AE108">
        <f t="shared" si="84"/>
        <v>189</v>
      </c>
      <c r="AF108">
        <f t="shared" si="85"/>
        <v>24</v>
      </c>
      <c r="AG108">
        <f t="shared" si="86"/>
        <v>-41.5</v>
      </c>
      <c r="AH108">
        <f t="shared" si="87"/>
        <v>-7</v>
      </c>
      <c r="AI108">
        <f t="shared" si="88"/>
        <v>0</v>
      </c>
      <c r="AJ108">
        <f t="shared" si="89"/>
        <v>0</v>
      </c>
      <c r="AK108">
        <f t="shared" si="90"/>
        <v>0</v>
      </c>
      <c r="AL108">
        <f t="shared" si="91"/>
        <v>30</v>
      </c>
      <c r="AM108">
        <f t="shared" si="92"/>
        <v>332.5</v>
      </c>
      <c r="AN108">
        <f t="shared" si="93"/>
        <v>432</v>
      </c>
      <c r="AO108" s="1">
        <f t="shared" si="94"/>
        <v>0.76967592592592593</v>
      </c>
    </row>
    <row r="109" spans="1:41" x14ac:dyDescent="0.25">
      <c r="A109" t="s">
        <v>6</v>
      </c>
      <c r="B109">
        <v>6</v>
      </c>
      <c r="C109">
        <v>246</v>
      </c>
      <c r="D109">
        <v>71</v>
      </c>
      <c r="E109">
        <v>0</v>
      </c>
      <c r="F109">
        <v>63</v>
      </c>
      <c r="G109">
        <v>16</v>
      </c>
      <c r="H109">
        <v>0</v>
      </c>
      <c r="I109">
        <v>0</v>
      </c>
      <c r="J109">
        <v>0</v>
      </c>
      <c r="K109">
        <v>191</v>
      </c>
      <c r="L109">
        <v>14</v>
      </c>
      <c r="M109">
        <v>1</v>
      </c>
      <c r="N109" t="s">
        <v>3</v>
      </c>
      <c r="O109">
        <v>2</v>
      </c>
      <c r="P109">
        <v>9</v>
      </c>
      <c r="Q109">
        <v>30</v>
      </c>
      <c r="R109">
        <v>35</v>
      </c>
      <c r="S109">
        <v>55</v>
      </c>
      <c r="T109">
        <v>60</v>
      </c>
      <c r="U109">
        <v>320</v>
      </c>
      <c r="V109">
        <v>5</v>
      </c>
      <c r="W109">
        <f t="shared" si="76"/>
        <v>4.5</v>
      </c>
      <c r="X109">
        <f t="shared" si="77"/>
        <v>25</v>
      </c>
      <c r="Y109">
        <f t="shared" si="78"/>
        <v>6</v>
      </c>
      <c r="Z109">
        <f t="shared" si="79"/>
        <v>3</v>
      </c>
      <c r="AA109">
        <f t="shared" si="80"/>
        <v>2</v>
      </c>
      <c r="AB109">
        <f t="shared" si="81"/>
        <v>0</v>
      </c>
      <c r="AC109">
        <f t="shared" si="82"/>
        <v>0</v>
      </c>
      <c r="AD109">
        <f t="shared" si="83"/>
        <v>123</v>
      </c>
      <c r="AE109">
        <f t="shared" si="84"/>
        <v>213</v>
      </c>
      <c r="AF109">
        <f t="shared" si="85"/>
        <v>0</v>
      </c>
      <c r="AG109">
        <f t="shared" si="86"/>
        <v>-31.5</v>
      </c>
      <c r="AH109">
        <f t="shared" si="87"/>
        <v>-16</v>
      </c>
      <c r="AI109">
        <f t="shared" si="88"/>
        <v>0</v>
      </c>
      <c r="AJ109">
        <f t="shared" si="89"/>
        <v>0</v>
      </c>
      <c r="AK109">
        <f t="shared" si="90"/>
        <v>0</v>
      </c>
      <c r="AL109">
        <f t="shared" si="91"/>
        <v>36</v>
      </c>
      <c r="AM109">
        <f t="shared" si="92"/>
        <v>324.5</v>
      </c>
      <c r="AN109">
        <f t="shared" si="93"/>
        <v>396</v>
      </c>
      <c r="AO109" s="1">
        <f t="shared" si="94"/>
        <v>0.81944444444444442</v>
      </c>
    </row>
    <row r="110" spans="1:41" x14ac:dyDescent="0.25">
      <c r="A110" t="s">
        <v>0</v>
      </c>
      <c r="B110">
        <v>6</v>
      </c>
      <c r="C110">
        <v>200</v>
      </c>
      <c r="D110">
        <v>63</v>
      </c>
      <c r="E110">
        <v>2</v>
      </c>
      <c r="F110">
        <v>89</v>
      </c>
      <c r="G110">
        <v>5</v>
      </c>
      <c r="H110">
        <v>0</v>
      </c>
      <c r="I110">
        <v>0</v>
      </c>
      <c r="J110">
        <v>1</v>
      </c>
      <c r="K110">
        <v>220</v>
      </c>
      <c r="L110">
        <v>14</v>
      </c>
      <c r="M110">
        <v>1</v>
      </c>
      <c r="N110" t="s">
        <v>2</v>
      </c>
      <c r="O110">
        <v>1</v>
      </c>
      <c r="P110">
        <v>9</v>
      </c>
      <c r="Q110">
        <v>45</v>
      </c>
      <c r="R110">
        <v>45</v>
      </c>
      <c r="S110">
        <v>60</v>
      </c>
      <c r="T110">
        <v>60</v>
      </c>
      <c r="U110">
        <v>320</v>
      </c>
      <c r="V110">
        <v>4</v>
      </c>
      <c r="W110">
        <f t="shared" si="76"/>
        <v>-7.5</v>
      </c>
      <c r="X110">
        <f t="shared" si="77"/>
        <v>50</v>
      </c>
      <c r="Y110">
        <f t="shared" si="78"/>
        <v>6</v>
      </c>
      <c r="Z110">
        <f t="shared" si="79"/>
        <v>1</v>
      </c>
      <c r="AA110">
        <f t="shared" si="80"/>
        <v>1</v>
      </c>
      <c r="AB110">
        <f t="shared" si="81"/>
        <v>0</v>
      </c>
      <c r="AC110">
        <f t="shared" si="82"/>
        <v>0</v>
      </c>
      <c r="AD110">
        <f t="shared" si="83"/>
        <v>100</v>
      </c>
      <c r="AE110">
        <f t="shared" si="84"/>
        <v>189</v>
      </c>
      <c r="AF110">
        <f t="shared" si="85"/>
        <v>16</v>
      </c>
      <c r="AG110">
        <f t="shared" si="86"/>
        <v>-44.5</v>
      </c>
      <c r="AH110">
        <f t="shared" si="87"/>
        <v>-5</v>
      </c>
      <c r="AI110">
        <f t="shared" si="88"/>
        <v>0</v>
      </c>
      <c r="AJ110">
        <f t="shared" si="89"/>
        <v>0</v>
      </c>
      <c r="AK110">
        <f t="shared" si="90"/>
        <v>-1</v>
      </c>
      <c r="AL110">
        <f t="shared" si="91"/>
        <v>58</v>
      </c>
      <c r="AM110">
        <f t="shared" si="92"/>
        <v>312.5</v>
      </c>
      <c r="AN110">
        <f t="shared" si="93"/>
        <v>360</v>
      </c>
      <c r="AO110" s="1">
        <f t="shared" si="94"/>
        <v>0.86805555555555558</v>
      </c>
    </row>
    <row r="111" spans="1:41" x14ac:dyDescent="0.25">
      <c r="A111" t="s">
        <v>7</v>
      </c>
      <c r="B111">
        <v>6</v>
      </c>
      <c r="C111">
        <v>237</v>
      </c>
      <c r="D111">
        <v>67</v>
      </c>
      <c r="E111">
        <v>1</v>
      </c>
      <c r="F111">
        <v>78</v>
      </c>
      <c r="G111">
        <v>12</v>
      </c>
      <c r="H111">
        <v>0</v>
      </c>
      <c r="I111">
        <v>0</v>
      </c>
      <c r="J111">
        <v>1</v>
      </c>
      <c r="K111">
        <v>209</v>
      </c>
      <c r="L111">
        <v>14</v>
      </c>
      <c r="M111">
        <v>0</v>
      </c>
      <c r="N111" t="s">
        <v>5</v>
      </c>
      <c r="O111">
        <v>20</v>
      </c>
      <c r="P111">
        <v>22</v>
      </c>
      <c r="Q111">
        <v>22</v>
      </c>
      <c r="R111">
        <v>30</v>
      </c>
      <c r="S111">
        <v>55</v>
      </c>
      <c r="T111">
        <v>60</v>
      </c>
      <c r="U111">
        <v>320</v>
      </c>
      <c r="V111">
        <v>5</v>
      </c>
      <c r="W111">
        <f t="shared" si="76"/>
        <v>-28.5</v>
      </c>
      <c r="X111">
        <f t="shared" si="77"/>
        <v>5</v>
      </c>
      <c r="Y111">
        <f t="shared" si="78"/>
        <v>4</v>
      </c>
      <c r="Z111">
        <f t="shared" si="79"/>
        <v>4</v>
      </c>
      <c r="AA111">
        <f t="shared" si="80"/>
        <v>3</v>
      </c>
      <c r="AB111">
        <f t="shared" si="81"/>
        <v>0</v>
      </c>
      <c r="AC111">
        <f t="shared" si="82"/>
        <v>0</v>
      </c>
      <c r="AD111">
        <f t="shared" si="83"/>
        <v>118.5</v>
      </c>
      <c r="AE111">
        <f t="shared" si="84"/>
        <v>201</v>
      </c>
      <c r="AF111">
        <f t="shared" si="85"/>
        <v>8</v>
      </c>
      <c r="AG111">
        <f t="shared" si="86"/>
        <v>-39</v>
      </c>
      <c r="AH111">
        <f t="shared" si="87"/>
        <v>-12</v>
      </c>
      <c r="AI111">
        <f t="shared" si="88"/>
        <v>0</v>
      </c>
      <c r="AJ111">
        <f t="shared" si="89"/>
        <v>0</v>
      </c>
      <c r="AK111">
        <f t="shared" si="90"/>
        <v>-1</v>
      </c>
      <c r="AL111">
        <f t="shared" si="91"/>
        <v>16</v>
      </c>
      <c r="AM111">
        <f t="shared" si="92"/>
        <v>291.5</v>
      </c>
      <c r="AN111">
        <f t="shared" si="93"/>
        <v>396</v>
      </c>
      <c r="AO111" s="1">
        <f t="shared" si="94"/>
        <v>0.73611111111111116</v>
      </c>
    </row>
    <row r="112" spans="1:41" x14ac:dyDescent="0.25">
      <c r="A112" t="s">
        <v>3</v>
      </c>
      <c r="B112">
        <v>6</v>
      </c>
      <c r="C112">
        <v>210</v>
      </c>
      <c r="D112">
        <v>48</v>
      </c>
      <c r="E112">
        <v>0</v>
      </c>
      <c r="F112">
        <v>52</v>
      </c>
      <c r="G112">
        <v>12</v>
      </c>
      <c r="H112">
        <v>0</v>
      </c>
      <c r="I112">
        <v>0</v>
      </c>
      <c r="J112">
        <v>2</v>
      </c>
      <c r="K112">
        <v>240</v>
      </c>
      <c r="L112">
        <v>14</v>
      </c>
      <c r="M112">
        <v>0</v>
      </c>
      <c r="N112" t="s">
        <v>6</v>
      </c>
      <c r="O112">
        <v>8</v>
      </c>
      <c r="P112">
        <v>22</v>
      </c>
      <c r="Q112">
        <v>30</v>
      </c>
      <c r="R112">
        <v>60</v>
      </c>
      <c r="S112">
        <v>60</v>
      </c>
      <c r="T112">
        <v>60</v>
      </c>
      <c r="U112">
        <v>320</v>
      </c>
      <c r="V112">
        <v>3</v>
      </c>
      <c r="W112">
        <f t="shared" si="76"/>
        <v>-95</v>
      </c>
      <c r="X112">
        <f t="shared" si="77"/>
        <v>9</v>
      </c>
      <c r="Y112">
        <f t="shared" si="78"/>
        <v>4</v>
      </c>
      <c r="Z112">
        <f t="shared" si="79"/>
        <v>3</v>
      </c>
      <c r="AA112">
        <f t="shared" si="80"/>
        <v>0</v>
      </c>
      <c r="AB112">
        <f t="shared" si="81"/>
        <v>0</v>
      </c>
      <c r="AC112">
        <f t="shared" si="82"/>
        <v>0</v>
      </c>
      <c r="AD112">
        <f t="shared" si="83"/>
        <v>105</v>
      </c>
      <c r="AE112">
        <f t="shared" si="84"/>
        <v>144</v>
      </c>
      <c r="AF112">
        <f t="shared" si="85"/>
        <v>0</v>
      </c>
      <c r="AG112">
        <f t="shared" si="86"/>
        <v>-26</v>
      </c>
      <c r="AH112">
        <f t="shared" si="87"/>
        <v>-12</v>
      </c>
      <c r="AI112">
        <f t="shared" si="88"/>
        <v>0</v>
      </c>
      <c r="AJ112">
        <f t="shared" si="89"/>
        <v>0</v>
      </c>
      <c r="AK112">
        <f t="shared" si="90"/>
        <v>-2</v>
      </c>
      <c r="AL112">
        <f t="shared" si="91"/>
        <v>16</v>
      </c>
      <c r="AM112">
        <f t="shared" si="92"/>
        <v>225</v>
      </c>
      <c r="AN112">
        <f t="shared" si="93"/>
        <v>324</v>
      </c>
      <c r="AO112" s="1">
        <f t="shared" si="94"/>
        <v>0.69444444444444442</v>
      </c>
    </row>
    <row r="113" spans="1:41" x14ac:dyDescent="0.25">
      <c r="A113" t="s">
        <v>2</v>
      </c>
      <c r="B113">
        <v>6</v>
      </c>
      <c r="C113">
        <v>192</v>
      </c>
      <c r="D113">
        <v>52</v>
      </c>
      <c r="E113">
        <v>0</v>
      </c>
      <c r="F113">
        <v>70</v>
      </c>
      <c r="G113">
        <v>9</v>
      </c>
      <c r="H113">
        <v>0</v>
      </c>
      <c r="I113">
        <v>0</v>
      </c>
      <c r="J113">
        <v>1</v>
      </c>
      <c r="K113">
        <v>260</v>
      </c>
      <c r="L113">
        <v>14</v>
      </c>
      <c r="M113">
        <v>0</v>
      </c>
      <c r="N113" t="s">
        <v>0</v>
      </c>
      <c r="O113">
        <v>12</v>
      </c>
      <c r="P113">
        <v>16</v>
      </c>
      <c r="Q113">
        <v>52</v>
      </c>
      <c r="R113">
        <v>60</v>
      </c>
      <c r="S113">
        <v>60</v>
      </c>
      <c r="T113">
        <v>60</v>
      </c>
      <c r="U113">
        <v>320</v>
      </c>
      <c r="V113">
        <v>3</v>
      </c>
      <c r="W113">
        <f t="shared" si="76"/>
        <v>-102</v>
      </c>
      <c r="X113">
        <f t="shared" si="77"/>
        <v>6</v>
      </c>
      <c r="Y113">
        <f t="shared" si="78"/>
        <v>5</v>
      </c>
      <c r="Z113">
        <f t="shared" si="79"/>
        <v>0</v>
      </c>
      <c r="AA113">
        <f t="shared" si="80"/>
        <v>0</v>
      </c>
      <c r="AB113">
        <f t="shared" si="81"/>
        <v>0</v>
      </c>
      <c r="AC113">
        <f t="shared" si="82"/>
        <v>0</v>
      </c>
      <c r="AD113">
        <f t="shared" si="83"/>
        <v>96</v>
      </c>
      <c r="AE113">
        <f t="shared" si="84"/>
        <v>156</v>
      </c>
      <c r="AF113">
        <f t="shared" si="85"/>
        <v>0</v>
      </c>
      <c r="AG113">
        <f t="shared" si="86"/>
        <v>-35</v>
      </c>
      <c r="AH113">
        <f t="shared" si="87"/>
        <v>-9</v>
      </c>
      <c r="AI113">
        <f t="shared" si="88"/>
        <v>0</v>
      </c>
      <c r="AJ113">
        <f t="shared" si="89"/>
        <v>0</v>
      </c>
      <c r="AK113">
        <f t="shared" si="90"/>
        <v>-1</v>
      </c>
      <c r="AL113">
        <f t="shared" si="91"/>
        <v>11</v>
      </c>
      <c r="AM113">
        <f t="shared" si="92"/>
        <v>218</v>
      </c>
      <c r="AN113">
        <f t="shared" si="93"/>
        <v>324</v>
      </c>
      <c r="AO113" s="1">
        <f t="shared" si="94"/>
        <v>0.6728395061728395</v>
      </c>
    </row>
    <row r="114" spans="1:41" x14ac:dyDescent="0.25">
      <c r="A114" t="s">
        <v>0</v>
      </c>
      <c r="B114">
        <v>6</v>
      </c>
      <c r="C114">
        <v>283</v>
      </c>
      <c r="D114">
        <v>98</v>
      </c>
      <c r="E114">
        <v>3</v>
      </c>
      <c r="F114">
        <v>41</v>
      </c>
      <c r="G114">
        <v>7</v>
      </c>
      <c r="H114">
        <v>0</v>
      </c>
      <c r="I114">
        <v>0</v>
      </c>
      <c r="J114">
        <v>0</v>
      </c>
      <c r="K114">
        <v>188</v>
      </c>
      <c r="L114">
        <v>15</v>
      </c>
      <c r="M114">
        <v>1</v>
      </c>
      <c r="N114" t="s">
        <v>3</v>
      </c>
      <c r="O114">
        <v>1</v>
      </c>
      <c r="P114">
        <v>2</v>
      </c>
      <c r="Q114">
        <v>28</v>
      </c>
      <c r="R114">
        <v>44</v>
      </c>
      <c r="S114">
        <v>49</v>
      </c>
      <c r="T114">
        <v>64</v>
      </c>
      <c r="U114">
        <v>454.5</v>
      </c>
      <c r="V114">
        <v>6</v>
      </c>
      <c r="W114">
        <f t="shared" ref="W114:W121" si="95">AM114-U114</f>
        <v>57.5</v>
      </c>
      <c r="X114">
        <f t="shared" ref="X114:X121" si="96">IF(O114=1,50,IF(O114=2,25,IF(O114=3,18,IF(O114=4,16,IF(O114=5,14,IF(O114=6,12,IF(O114=7,10,IF(O114=8,9,IF(O114=10,7,IF(O114&lt;=15,6,IF(O114&lt;=20,5,IF(O114&lt;=25,4,IF(O114&lt;=30,3,IF(O114&lt;=40,2,IF(O114&lt;=50,1,IF(O114&gt;50,0))))))))))))))))</f>
        <v>50</v>
      </c>
      <c r="Y114">
        <f t="shared" ref="Y114:Y121" si="97">IF(P114=1,50,IF(P114=2,25,IF(P114=3,18,IF(P114=4,16,IF(P114=5,14,IF(P114=6,12,IF(P114=7,10,IF(P114=8,9,IF(P114=10,7,IF(P114&lt;=15,6,IF(P114&lt;=20,5,IF(P114&lt;=25,4,IF(P114&lt;=30,3,IF(P114&lt;=40,2,IF(P114&lt;=50,1,IF(P114&gt;50,0))))))))))))))))</f>
        <v>25</v>
      </c>
      <c r="Z114">
        <f t="shared" ref="Z114:Z121" si="98">IF(Q114=1,50,IF(Q114=2,25,IF(Q114=3,18,IF(Q114=4,16,IF(Q114=5,14,IF(Q114=6,12,IF(Q114=7,10,IF(Q114=8,9,IF(Q114=10,7,IF(Q114&lt;=15,6,IF(Q114&lt;=20,5,IF(Q114&lt;=25,4,IF(Q114&lt;=30,3,IF(Q114&lt;=40,2,IF(Q114&lt;=50,1,IF(Q114&gt;50,0))))))))))))))))</f>
        <v>3</v>
      </c>
      <c r="AA114">
        <f t="shared" ref="AA114:AA121" si="99">IF(R114=1,50,IF(R114=2,25,IF(R114=3,18,IF(R114=4,16,IF(R114=5,14,IF(R114=6,12,IF(R114=7,10,IF(R114=8,9,IF(R114=10,7,IF(R114&lt;=15,6,IF(R114&lt;=20,5,IF(R114&lt;=25,4,IF(R114&lt;=30,3,IF(R114&lt;=40,2,IF(R114&lt;=50,1,IF(R114&gt;50,0))))))))))))))))</f>
        <v>1</v>
      </c>
      <c r="AB114">
        <f t="shared" ref="AB114:AB121" si="100">IF(S114=1,50,IF(S114=2,25,IF(S114=3,18,IF(S114=4,16,IF(S114=5,14,IF(S114=6,12,IF(S114=7,10,IF(S114=8,9,IF(S114=10,7,IF(S114&lt;=15,6,IF(S114&lt;=20,5,IF(S114&lt;=25,4,IF(S114&lt;=30,3,IF(S114&lt;=40,2,IF(S114&lt;=50,1,IF(S114&gt;50,0))))))))))))))))</f>
        <v>1</v>
      </c>
      <c r="AC114">
        <f t="shared" ref="AC114:AC121" si="101">IF(T114=1,50,IF(T114=2,25,IF(T114=3,18,IF(T114=4,16,IF(T114=5,14,IF(T114=6,12,IF(T114=7,10,IF(T114=8,9,IF(T114=10,7,IF(T114&lt;=15,6,IF(T114&lt;=20,5,IF(T114&lt;=25,4,IF(T114&lt;=30,3,IF(T114&lt;=40,2,IF(T114&lt;=50,1,IF(T114&gt;50,0))))))))))))))))</f>
        <v>0</v>
      </c>
      <c r="AD114">
        <f t="shared" ref="AD114:AD121" si="102">C114*0.5</f>
        <v>141.5</v>
      </c>
      <c r="AE114">
        <f t="shared" ref="AE114:AE121" si="103">D114*3</f>
        <v>294</v>
      </c>
      <c r="AF114">
        <f t="shared" ref="AF114:AF121" si="104">E114*8</f>
        <v>24</v>
      </c>
      <c r="AG114">
        <f t="shared" ref="AG114:AG121" si="105">-1*(F114/2)</f>
        <v>-20.5</v>
      </c>
      <c r="AH114">
        <f t="shared" ref="AH114:AH121" si="106">G114*-1</f>
        <v>-7</v>
      </c>
      <c r="AI114">
        <f t="shared" ref="AI114:AI121" si="107">H114*13</f>
        <v>0</v>
      </c>
      <c r="AJ114">
        <f t="shared" ref="AJ114:AJ121" si="108">I114*5</f>
        <v>0</v>
      </c>
      <c r="AK114">
        <f t="shared" ref="AK114:AK121" si="109">J114*-1</f>
        <v>0</v>
      </c>
      <c r="AL114">
        <f t="shared" ref="AL114:AL121" si="110">SUM(X114:AC114)</f>
        <v>80</v>
      </c>
      <c r="AM114">
        <f t="shared" ref="AM114:AM121" si="111">SUM(AD114:AL114)</f>
        <v>512</v>
      </c>
      <c r="AN114">
        <f t="shared" ref="AN114:AN121" si="112">SUM(C114:G114,J114)</f>
        <v>432</v>
      </c>
      <c r="AO114" s="1">
        <f t="shared" ref="AO114:AO121" si="113">AM114/AN114</f>
        <v>1.1851851851851851</v>
      </c>
    </row>
    <row r="115" spans="1:41" x14ac:dyDescent="0.25">
      <c r="A115" t="s">
        <v>6</v>
      </c>
      <c r="B115">
        <v>6</v>
      </c>
      <c r="C115">
        <v>277</v>
      </c>
      <c r="D115">
        <v>100</v>
      </c>
      <c r="E115">
        <v>5</v>
      </c>
      <c r="F115">
        <v>41</v>
      </c>
      <c r="G115">
        <v>9</v>
      </c>
      <c r="H115">
        <v>0</v>
      </c>
      <c r="I115">
        <v>0</v>
      </c>
      <c r="J115">
        <v>0</v>
      </c>
      <c r="K115">
        <v>146</v>
      </c>
      <c r="L115">
        <v>15</v>
      </c>
      <c r="M115">
        <v>1</v>
      </c>
      <c r="N115" t="s">
        <v>5</v>
      </c>
      <c r="O115">
        <v>5</v>
      </c>
      <c r="P115">
        <v>10</v>
      </c>
      <c r="Q115">
        <v>18</v>
      </c>
      <c r="R115">
        <v>18</v>
      </c>
      <c r="S115">
        <v>33</v>
      </c>
      <c r="T115">
        <v>62</v>
      </c>
      <c r="U115">
        <v>454.5</v>
      </c>
      <c r="V115">
        <v>6</v>
      </c>
      <c r="W115">
        <f t="shared" si="95"/>
        <v>27.5</v>
      </c>
      <c r="X115">
        <f t="shared" si="96"/>
        <v>14</v>
      </c>
      <c r="Y115">
        <f t="shared" si="97"/>
        <v>7</v>
      </c>
      <c r="Z115">
        <f t="shared" si="98"/>
        <v>5</v>
      </c>
      <c r="AA115">
        <f t="shared" si="99"/>
        <v>5</v>
      </c>
      <c r="AB115">
        <f t="shared" si="100"/>
        <v>2</v>
      </c>
      <c r="AC115">
        <f t="shared" si="101"/>
        <v>0</v>
      </c>
      <c r="AD115">
        <f t="shared" si="102"/>
        <v>138.5</v>
      </c>
      <c r="AE115">
        <f t="shared" si="103"/>
        <v>300</v>
      </c>
      <c r="AF115">
        <f t="shared" si="104"/>
        <v>40</v>
      </c>
      <c r="AG115">
        <f t="shared" si="105"/>
        <v>-20.5</v>
      </c>
      <c r="AH115">
        <f t="shared" si="106"/>
        <v>-9</v>
      </c>
      <c r="AI115">
        <f t="shared" si="107"/>
        <v>0</v>
      </c>
      <c r="AJ115">
        <f t="shared" si="108"/>
        <v>0</v>
      </c>
      <c r="AK115">
        <f t="shared" si="109"/>
        <v>0</v>
      </c>
      <c r="AL115">
        <f t="shared" si="110"/>
        <v>33</v>
      </c>
      <c r="AM115">
        <f t="shared" si="111"/>
        <v>482</v>
      </c>
      <c r="AN115">
        <f t="shared" si="112"/>
        <v>432</v>
      </c>
      <c r="AO115" s="1">
        <f t="shared" si="113"/>
        <v>1.1157407407407407</v>
      </c>
    </row>
    <row r="116" spans="1:41" x14ac:dyDescent="0.25">
      <c r="A116" t="s">
        <v>4</v>
      </c>
      <c r="B116">
        <v>6</v>
      </c>
      <c r="C116">
        <v>266</v>
      </c>
      <c r="D116">
        <v>111</v>
      </c>
      <c r="E116">
        <v>0</v>
      </c>
      <c r="F116">
        <v>46</v>
      </c>
      <c r="G116">
        <v>9</v>
      </c>
      <c r="H116">
        <v>0</v>
      </c>
      <c r="I116">
        <v>0</v>
      </c>
      <c r="J116">
        <v>0</v>
      </c>
      <c r="K116">
        <v>173</v>
      </c>
      <c r="L116">
        <v>15</v>
      </c>
      <c r="M116">
        <v>1</v>
      </c>
      <c r="N116" t="s">
        <v>7</v>
      </c>
      <c r="O116">
        <v>5</v>
      </c>
      <c r="P116">
        <v>9</v>
      </c>
      <c r="Q116">
        <v>18</v>
      </c>
      <c r="R116">
        <v>28</v>
      </c>
      <c r="S116">
        <v>55</v>
      </c>
      <c r="T116">
        <v>58</v>
      </c>
      <c r="U116">
        <v>454.5</v>
      </c>
      <c r="V116">
        <v>6</v>
      </c>
      <c r="W116">
        <f t="shared" si="95"/>
        <v>7.5</v>
      </c>
      <c r="X116">
        <f t="shared" si="96"/>
        <v>14</v>
      </c>
      <c r="Y116">
        <f t="shared" si="97"/>
        <v>6</v>
      </c>
      <c r="Z116">
        <f t="shared" si="98"/>
        <v>5</v>
      </c>
      <c r="AA116">
        <f t="shared" si="99"/>
        <v>3</v>
      </c>
      <c r="AB116">
        <f t="shared" si="100"/>
        <v>0</v>
      </c>
      <c r="AC116">
        <f t="shared" si="101"/>
        <v>0</v>
      </c>
      <c r="AD116">
        <f t="shared" si="102"/>
        <v>133</v>
      </c>
      <c r="AE116">
        <f t="shared" si="103"/>
        <v>333</v>
      </c>
      <c r="AF116">
        <f t="shared" si="104"/>
        <v>0</v>
      </c>
      <c r="AG116">
        <f t="shared" si="105"/>
        <v>-23</v>
      </c>
      <c r="AH116">
        <f t="shared" si="106"/>
        <v>-9</v>
      </c>
      <c r="AI116">
        <f t="shared" si="107"/>
        <v>0</v>
      </c>
      <c r="AJ116">
        <f t="shared" si="108"/>
        <v>0</v>
      </c>
      <c r="AK116">
        <f t="shared" si="109"/>
        <v>0</v>
      </c>
      <c r="AL116">
        <f t="shared" si="110"/>
        <v>28</v>
      </c>
      <c r="AM116">
        <f t="shared" si="111"/>
        <v>462</v>
      </c>
      <c r="AN116">
        <f t="shared" si="112"/>
        <v>432</v>
      </c>
      <c r="AO116" s="1">
        <f t="shared" si="113"/>
        <v>1.0694444444444444</v>
      </c>
    </row>
    <row r="117" spans="1:41" x14ac:dyDescent="0.25">
      <c r="A117" t="s">
        <v>3</v>
      </c>
      <c r="B117">
        <v>6</v>
      </c>
      <c r="C117">
        <v>278</v>
      </c>
      <c r="D117">
        <v>100</v>
      </c>
      <c r="E117">
        <v>3</v>
      </c>
      <c r="F117">
        <v>43</v>
      </c>
      <c r="G117">
        <v>8</v>
      </c>
      <c r="H117">
        <v>0</v>
      </c>
      <c r="I117">
        <v>0</v>
      </c>
      <c r="J117">
        <v>0</v>
      </c>
      <c r="K117">
        <v>159</v>
      </c>
      <c r="L117">
        <v>15</v>
      </c>
      <c r="M117">
        <v>0</v>
      </c>
      <c r="N117" t="s">
        <v>0</v>
      </c>
      <c r="O117">
        <v>12</v>
      </c>
      <c r="P117">
        <v>18</v>
      </c>
      <c r="Q117">
        <v>18</v>
      </c>
      <c r="R117">
        <v>28</v>
      </c>
      <c r="S117">
        <v>39</v>
      </c>
      <c r="T117">
        <v>44</v>
      </c>
      <c r="U117">
        <v>454.5</v>
      </c>
      <c r="V117">
        <v>6</v>
      </c>
      <c r="W117">
        <f t="shared" si="95"/>
        <v>1</v>
      </c>
      <c r="X117">
        <f t="shared" si="96"/>
        <v>6</v>
      </c>
      <c r="Y117">
        <f t="shared" si="97"/>
        <v>5</v>
      </c>
      <c r="Z117">
        <f t="shared" si="98"/>
        <v>5</v>
      </c>
      <c r="AA117">
        <f t="shared" si="99"/>
        <v>3</v>
      </c>
      <c r="AB117">
        <f t="shared" si="100"/>
        <v>2</v>
      </c>
      <c r="AC117">
        <f t="shared" si="101"/>
        <v>1</v>
      </c>
      <c r="AD117">
        <f t="shared" si="102"/>
        <v>139</v>
      </c>
      <c r="AE117">
        <f t="shared" si="103"/>
        <v>300</v>
      </c>
      <c r="AF117">
        <f t="shared" si="104"/>
        <v>24</v>
      </c>
      <c r="AG117">
        <f t="shared" si="105"/>
        <v>-21.5</v>
      </c>
      <c r="AH117">
        <f t="shared" si="106"/>
        <v>-8</v>
      </c>
      <c r="AI117">
        <f t="shared" si="107"/>
        <v>0</v>
      </c>
      <c r="AJ117">
        <f t="shared" si="108"/>
        <v>0</v>
      </c>
      <c r="AK117">
        <f t="shared" si="109"/>
        <v>0</v>
      </c>
      <c r="AL117">
        <f t="shared" si="110"/>
        <v>22</v>
      </c>
      <c r="AM117">
        <f t="shared" si="111"/>
        <v>455.5</v>
      </c>
      <c r="AN117">
        <f t="shared" si="112"/>
        <v>432</v>
      </c>
      <c r="AO117" s="1">
        <f t="shared" si="113"/>
        <v>1.0543981481481481</v>
      </c>
    </row>
    <row r="118" spans="1:41" x14ac:dyDescent="0.25">
      <c r="A118" t="s">
        <v>5</v>
      </c>
      <c r="B118">
        <v>6</v>
      </c>
      <c r="C118">
        <v>280</v>
      </c>
      <c r="D118">
        <v>100</v>
      </c>
      <c r="E118">
        <v>2</v>
      </c>
      <c r="F118">
        <v>45</v>
      </c>
      <c r="G118">
        <v>5</v>
      </c>
      <c r="H118">
        <v>0</v>
      </c>
      <c r="I118">
        <v>0</v>
      </c>
      <c r="J118">
        <v>0</v>
      </c>
      <c r="K118">
        <v>151</v>
      </c>
      <c r="L118">
        <v>15</v>
      </c>
      <c r="M118">
        <v>0</v>
      </c>
      <c r="N118" t="s">
        <v>6</v>
      </c>
      <c r="O118">
        <v>10</v>
      </c>
      <c r="P118">
        <v>12</v>
      </c>
      <c r="Q118">
        <v>18</v>
      </c>
      <c r="R118">
        <v>18</v>
      </c>
      <c r="S118">
        <v>44</v>
      </c>
      <c r="T118">
        <v>55</v>
      </c>
      <c r="U118">
        <v>454.5</v>
      </c>
      <c r="V118">
        <v>6</v>
      </c>
      <c r="W118">
        <f t="shared" si="95"/>
        <v>-2</v>
      </c>
      <c r="X118">
        <f t="shared" si="96"/>
        <v>7</v>
      </c>
      <c r="Y118">
        <f t="shared" si="97"/>
        <v>6</v>
      </c>
      <c r="Z118">
        <f t="shared" si="98"/>
        <v>5</v>
      </c>
      <c r="AA118">
        <f t="shared" si="99"/>
        <v>5</v>
      </c>
      <c r="AB118">
        <f t="shared" si="100"/>
        <v>1</v>
      </c>
      <c r="AC118">
        <f t="shared" si="101"/>
        <v>0</v>
      </c>
      <c r="AD118">
        <f t="shared" si="102"/>
        <v>140</v>
      </c>
      <c r="AE118">
        <f t="shared" si="103"/>
        <v>300</v>
      </c>
      <c r="AF118">
        <f t="shared" si="104"/>
        <v>16</v>
      </c>
      <c r="AG118">
        <f t="shared" si="105"/>
        <v>-22.5</v>
      </c>
      <c r="AH118">
        <f t="shared" si="106"/>
        <v>-5</v>
      </c>
      <c r="AI118">
        <f t="shared" si="107"/>
        <v>0</v>
      </c>
      <c r="AJ118">
        <f t="shared" si="108"/>
        <v>0</v>
      </c>
      <c r="AK118">
        <f t="shared" si="109"/>
        <v>0</v>
      </c>
      <c r="AL118">
        <f t="shared" si="110"/>
        <v>24</v>
      </c>
      <c r="AM118">
        <f t="shared" si="111"/>
        <v>452.5</v>
      </c>
      <c r="AN118">
        <f t="shared" si="112"/>
        <v>432</v>
      </c>
      <c r="AO118" s="1">
        <f t="shared" si="113"/>
        <v>1.0474537037037037</v>
      </c>
    </row>
    <row r="119" spans="1:41" x14ac:dyDescent="0.25">
      <c r="A119" t="s">
        <v>1</v>
      </c>
      <c r="B119">
        <v>6</v>
      </c>
      <c r="C119">
        <v>287</v>
      </c>
      <c r="D119">
        <v>93</v>
      </c>
      <c r="E119">
        <v>1</v>
      </c>
      <c r="F119">
        <v>47</v>
      </c>
      <c r="G119">
        <v>3</v>
      </c>
      <c r="H119">
        <v>0</v>
      </c>
      <c r="I119">
        <v>0</v>
      </c>
      <c r="J119">
        <v>1</v>
      </c>
      <c r="K119">
        <v>205</v>
      </c>
      <c r="L119">
        <v>15</v>
      </c>
      <c r="M119">
        <v>1</v>
      </c>
      <c r="N119" t="s">
        <v>2</v>
      </c>
      <c r="O119">
        <v>3</v>
      </c>
      <c r="P119">
        <v>17</v>
      </c>
      <c r="Q119">
        <v>28</v>
      </c>
      <c r="R119">
        <v>48</v>
      </c>
      <c r="S119">
        <v>49</v>
      </c>
      <c r="T119">
        <v>64</v>
      </c>
      <c r="U119">
        <v>454.5</v>
      </c>
      <c r="V119">
        <v>6</v>
      </c>
      <c r="W119">
        <f t="shared" si="95"/>
        <v>-23.5</v>
      </c>
      <c r="X119">
        <f t="shared" si="96"/>
        <v>18</v>
      </c>
      <c r="Y119">
        <f t="shared" si="97"/>
        <v>5</v>
      </c>
      <c r="Z119">
        <f t="shared" si="98"/>
        <v>3</v>
      </c>
      <c r="AA119">
        <f t="shared" si="99"/>
        <v>1</v>
      </c>
      <c r="AB119">
        <f t="shared" si="100"/>
        <v>1</v>
      </c>
      <c r="AC119">
        <f t="shared" si="101"/>
        <v>0</v>
      </c>
      <c r="AD119">
        <f t="shared" si="102"/>
        <v>143.5</v>
      </c>
      <c r="AE119">
        <f t="shared" si="103"/>
        <v>279</v>
      </c>
      <c r="AF119">
        <f t="shared" si="104"/>
        <v>8</v>
      </c>
      <c r="AG119">
        <f t="shared" si="105"/>
        <v>-23.5</v>
      </c>
      <c r="AH119">
        <f t="shared" si="106"/>
        <v>-3</v>
      </c>
      <c r="AI119">
        <f t="shared" si="107"/>
        <v>0</v>
      </c>
      <c r="AJ119">
        <f t="shared" si="108"/>
        <v>0</v>
      </c>
      <c r="AK119">
        <f t="shared" si="109"/>
        <v>-1</v>
      </c>
      <c r="AL119">
        <f t="shared" si="110"/>
        <v>28</v>
      </c>
      <c r="AM119">
        <f t="shared" si="111"/>
        <v>431</v>
      </c>
      <c r="AN119">
        <f t="shared" si="112"/>
        <v>432</v>
      </c>
      <c r="AO119" s="1">
        <f t="shared" si="113"/>
        <v>0.99768518518518523</v>
      </c>
    </row>
    <row r="120" spans="1:41" x14ac:dyDescent="0.25">
      <c r="A120" t="s">
        <v>7</v>
      </c>
      <c r="B120">
        <v>6</v>
      </c>
      <c r="C120">
        <v>296</v>
      </c>
      <c r="D120">
        <v>89</v>
      </c>
      <c r="E120">
        <v>1</v>
      </c>
      <c r="F120">
        <v>35</v>
      </c>
      <c r="G120">
        <v>11</v>
      </c>
      <c r="H120">
        <v>0</v>
      </c>
      <c r="I120">
        <v>0</v>
      </c>
      <c r="J120">
        <v>0</v>
      </c>
      <c r="K120">
        <v>204</v>
      </c>
      <c r="L120">
        <v>15</v>
      </c>
      <c r="M120">
        <v>0</v>
      </c>
      <c r="N120" t="s">
        <v>4</v>
      </c>
      <c r="O120">
        <v>12</v>
      </c>
      <c r="P120">
        <v>18</v>
      </c>
      <c r="Q120">
        <v>33</v>
      </c>
      <c r="R120">
        <v>33</v>
      </c>
      <c r="S120">
        <v>39</v>
      </c>
      <c r="T120">
        <v>69</v>
      </c>
      <c r="U120">
        <v>454.5</v>
      </c>
      <c r="V120">
        <v>6</v>
      </c>
      <c r="W120">
        <f t="shared" si="95"/>
        <v>-43</v>
      </c>
      <c r="X120">
        <f t="shared" si="96"/>
        <v>6</v>
      </c>
      <c r="Y120">
        <f t="shared" si="97"/>
        <v>5</v>
      </c>
      <c r="Z120">
        <f t="shared" si="98"/>
        <v>2</v>
      </c>
      <c r="AA120">
        <f t="shared" si="99"/>
        <v>2</v>
      </c>
      <c r="AB120">
        <f t="shared" si="100"/>
        <v>2</v>
      </c>
      <c r="AC120">
        <f t="shared" si="101"/>
        <v>0</v>
      </c>
      <c r="AD120">
        <f t="shared" si="102"/>
        <v>148</v>
      </c>
      <c r="AE120">
        <f t="shared" si="103"/>
        <v>267</v>
      </c>
      <c r="AF120">
        <f t="shared" si="104"/>
        <v>8</v>
      </c>
      <c r="AG120">
        <f t="shared" si="105"/>
        <v>-17.5</v>
      </c>
      <c r="AH120">
        <f t="shared" si="106"/>
        <v>-11</v>
      </c>
      <c r="AI120">
        <f t="shared" si="107"/>
        <v>0</v>
      </c>
      <c r="AJ120">
        <f t="shared" si="108"/>
        <v>0</v>
      </c>
      <c r="AK120">
        <f t="shared" si="109"/>
        <v>0</v>
      </c>
      <c r="AL120">
        <f t="shared" si="110"/>
        <v>17</v>
      </c>
      <c r="AM120">
        <f t="shared" si="111"/>
        <v>411.5</v>
      </c>
      <c r="AN120">
        <f t="shared" si="112"/>
        <v>432</v>
      </c>
      <c r="AO120" s="1">
        <f t="shared" si="113"/>
        <v>0.95254629629629628</v>
      </c>
    </row>
    <row r="121" spans="1:41" x14ac:dyDescent="0.25">
      <c r="A121" t="s">
        <v>2</v>
      </c>
      <c r="B121">
        <v>5</v>
      </c>
      <c r="C121">
        <v>235</v>
      </c>
      <c r="D121">
        <v>77</v>
      </c>
      <c r="E121">
        <v>4</v>
      </c>
      <c r="F121">
        <v>36</v>
      </c>
      <c r="G121">
        <v>7</v>
      </c>
      <c r="H121">
        <v>0</v>
      </c>
      <c r="I121">
        <v>0</v>
      </c>
      <c r="J121">
        <v>1</v>
      </c>
      <c r="K121">
        <v>170</v>
      </c>
      <c r="L121">
        <v>15</v>
      </c>
      <c r="M121">
        <v>0</v>
      </c>
      <c r="N121" t="s">
        <v>1</v>
      </c>
      <c r="O121">
        <v>3</v>
      </c>
      <c r="P121">
        <v>18</v>
      </c>
      <c r="Q121">
        <v>33</v>
      </c>
      <c r="R121">
        <v>49</v>
      </c>
      <c r="S121">
        <v>67</v>
      </c>
      <c r="T121" t="s">
        <v>39</v>
      </c>
      <c r="U121">
        <v>364</v>
      </c>
      <c r="V121">
        <v>6</v>
      </c>
      <c r="W121">
        <f t="shared" si="95"/>
        <v>16.5</v>
      </c>
      <c r="X121">
        <f t="shared" si="96"/>
        <v>18</v>
      </c>
      <c r="Y121">
        <f t="shared" si="97"/>
        <v>5</v>
      </c>
      <c r="Z121">
        <f t="shared" si="98"/>
        <v>2</v>
      </c>
      <c r="AA121">
        <f t="shared" si="99"/>
        <v>1</v>
      </c>
      <c r="AB121">
        <f t="shared" si="100"/>
        <v>0</v>
      </c>
      <c r="AC121">
        <f t="shared" si="101"/>
        <v>0</v>
      </c>
      <c r="AD121">
        <f t="shared" si="102"/>
        <v>117.5</v>
      </c>
      <c r="AE121">
        <f t="shared" si="103"/>
        <v>231</v>
      </c>
      <c r="AF121">
        <f t="shared" si="104"/>
        <v>32</v>
      </c>
      <c r="AG121">
        <f t="shared" si="105"/>
        <v>-18</v>
      </c>
      <c r="AH121">
        <f t="shared" si="106"/>
        <v>-7</v>
      </c>
      <c r="AI121">
        <f t="shared" si="107"/>
        <v>0</v>
      </c>
      <c r="AJ121">
        <f t="shared" si="108"/>
        <v>0</v>
      </c>
      <c r="AK121">
        <f t="shared" si="109"/>
        <v>-1</v>
      </c>
      <c r="AL121">
        <f t="shared" si="110"/>
        <v>26</v>
      </c>
      <c r="AM121">
        <f t="shared" si="111"/>
        <v>380.5</v>
      </c>
      <c r="AN121">
        <f t="shared" si="112"/>
        <v>360</v>
      </c>
      <c r="AO121" s="1">
        <f t="shared" si="113"/>
        <v>1.0569444444444445</v>
      </c>
    </row>
    <row r="122" spans="1:41" x14ac:dyDescent="0.25">
      <c r="A122" t="s">
        <v>1</v>
      </c>
      <c r="B122">
        <v>6</v>
      </c>
      <c r="C122">
        <v>226</v>
      </c>
      <c r="D122">
        <v>107</v>
      </c>
      <c r="E122">
        <v>2</v>
      </c>
      <c r="F122">
        <v>25</v>
      </c>
      <c r="G122">
        <v>0</v>
      </c>
      <c r="H122">
        <v>0</v>
      </c>
      <c r="I122">
        <v>0</v>
      </c>
      <c r="J122">
        <v>0</v>
      </c>
      <c r="K122">
        <v>168</v>
      </c>
      <c r="L122">
        <v>16</v>
      </c>
      <c r="M122">
        <v>1</v>
      </c>
      <c r="N122" t="s">
        <v>3</v>
      </c>
      <c r="O122">
        <v>1</v>
      </c>
      <c r="P122">
        <v>3</v>
      </c>
      <c r="Q122">
        <v>8</v>
      </c>
      <c r="R122">
        <v>24</v>
      </c>
      <c r="S122">
        <v>66</v>
      </c>
      <c r="T122">
        <v>66</v>
      </c>
      <c r="U122">
        <v>364</v>
      </c>
      <c r="V122">
        <v>4</v>
      </c>
      <c r="W122">
        <f t="shared" ref="W122:W129" si="114">AM122-U122</f>
        <v>154.5</v>
      </c>
      <c r="X122">
        <f t="shared" ref="X122:X129" si="115">IF(O122=1,50,IF(O122=2,25,IF(O122=3,18,IF(O122=4,16,IF(O122=5,14,IF(O122=6,12,IF(O122=7,10,IF(O122=8,9,IF(O122=10,7,IF(O122&lt;=15,6,IF(O122&lt;=20,5,IF(O122&lt;=25,4,IF(O122&lt;=30,3,IF(O122&lt;=40,2,IF(O122&lt;=50,1,IF(O122&gt;50,0))))))))))))))))</f>
        <v>50</v>
      </c>
      <c r="Y122">
        <f t="shared" ref="Y122:Y129" si="116">IF(P122=1,50,IF(P122=2,25,IF(P122=3,18,IF(P122=4,16,IF(P122=5,14,IF(P122=6,12,IF(P122=7,10,IF(P122=8,9,IF(P122=10,7,IF(P122&lt;=15,6,IF(P122&lt;=20,5,IF(P122&lt;=25,4,IF(P122&lt;=30,3,IF(P122&lt;=40,2,IF(P122&lt;=50,1,IF(P122&gt;50,0))))))))))))))))</f>
        <v>18</v>
      </c>
      <c r="Z122">
        <f t="shared" ref="Z122:Z129" si="117">IF(Q122=1,50,IF(Q122=2,25,IF(Q122=3,18,IF(Q122=4,16,IF(Q122=5,14,IF(Q122=6,12,IF(Q122=7,10,IF(Q122=8,9,IF(Q122=10,7,IF(Q122&lt;=15,6,IF(Q122&lt;=20,5,IF(Q122&lt;=25,4,IF(Q122&lt;=30,3,IF(Q122&lt;=40,2,IF(Q122&lt;=50,1,IF(Q122&gt;50,0))))))))))))))))</f>
        <v>9</v>
      </c>
      <c r="AA122">
        <f t="shared" ref="AA122:AA129" si="118">IF(R122=1,50,IF(R122=2,25,IF(R122=3,18,IF(R122=4,16,IF(R122=5,14,IF(R122=6,12,IF(R122=7,10,IF(R122=8,9,IF(R122=10,7,IF(R122&lt;=15,6,IF(R122&lt;=20,5,IF(R122&lt;=25,4,IF(R122&lt;=30,3,IF(R122&lt;=40,2,IF(R122&lt;=50,1,IF(R122&gt;50,0))))))))))))))))</f>
        <v>4</v>
      </c>
      <c r="AB122">
        <f t="shared" ref="AB122:AB129" si="119">IF(S122=1,50,IF(S122=2,25,IF(S122=3,18,IF(S122=4,16,IF(S122=5,14,IF(S122=6,12,IF(S122=7,10,IF(S122=8,9,IF(S122=10,7,IF(S122&lt;=15,6,IF(S122&lt;=20,5,IF(S122&lt;=25,4,IF(S122&lt;=30,3,IF(S122&lt;=40,2,IF(S122&lt;=50,1,IF(S122&gt;50,0))))))))))))))))</f>
        <v>0</v>
      </c>
      <c r="AC122">
        <f t="shared" ref="AC122:AC129" si="120">IF(T122=1,50,IF(T122=2,25,IF(T122=3,18,IF(T122=4,16,IF(T122=5,14,IF(T122=6,12,IF(T122=7,10,IF(T122=8,9,IF(T122=10,7,IF(T122&lt;=15,6,IF(T122&lt;=20,5,IF(T122&lt;=25,4,IF(T122&lt;=30,3,IF(T122&lt;=40,2,IF(T122&lt;=50,1,IF(T122&gt;50,0))))))))))))))))</f>
        <v>0</v>
      </c>
      <c r="AD122">
        <f t="shared" ref="AD122:AD129" si="121">C122*0.5</f>
        <v>113</v>
      </c>
      <c r="AE122">
        <f t="shared" ref="AE122:AE129" si="122">D122*3</f>
        <v>321</v>
      </c>
      <c r="AF122">
        <f t="shared" ref="AF122:AF129" si="123">E122*8</f>
        <v>16</v>
      </c>
      <c r="AG122">
        <f t="shared" ref="AG122:AG129" si="124">-1*(F122/2)</f>
        <v>-12.5</v>
      </c>
      <c r="AH122">
        <f t="shared" ref="AH122:AH129" si="125">G122*-1</f>
        <v>0</v>
      </c>
      <c r="AI122">
        <f t="shared" ref="AI122:AI129" si="126">H122*13</f>
        <v>0</v>
      </c>
      <c r="AJ122">
        <f t="shared" ref="AJ122:AJ129" si="127">I122*5</f>
        <v>0</v>
      </c>
      <c r="AK122">
        <f t="shared" ref="AK122:AK129" si="128">J122*-1</f>
        <v>0</v>
      </c>
      <c r="AL122">
        <f t="shared" ref="AL122:AL129" si="129">SUM(X122:AC122)</f>
        <v>81</v>
      </c>
      <c r="AM122">
        <f t="shared" ref="AM122:AM129" si="130">SUM(AD122:AL122)</f>
        <v>518.5</v>
      </c>
      <c r="AN122">
        <f t="shared" ref="AN122:AN129" si="131">SUM(C122:G122,J122)</f>
        <v>360</v>
      </c>
      <c r="AO122" s="1">
        <f t="shared" ref="AO122:AO129" si="132">AM122/AN122</f>
        <v>1.4402777777777778</v>
      </c>
    </row>
    <row r="123" spans="1:41" x14ac:dyDescent="0.25">
      <c r="A123" t="s">
        <v>2</v>
      </c>
      <c r="B123">
        <v>6</v>
      </c>
      <c r="C123">
        <v>253</v>
      </c>
      <c r="D123">
        <v>112</v>
      </c>
      <c r="E123">
        <v>3</v>
      </c>
      <c r="F123">
        <v>26</v>
      </c>
      <c r="G123">
        <v>2</v>
      </c>
      <c r="H123">
        <v>0</v>
      </c>
      <c r="I123">
        <v>0</v>
      </c>
      <c r="J123">
        <v>0</v>
      </c>
      <c r="K123">
        <v>157</v>
      </c>
      <c r="L123">
        <v>16</v>
      </c>
      <c r="M123">
        <v>1</v>
      </c>
      <c r="N123" t="s">
        <v>7</v>
      </c>
      <c r="O123">
        <v>4</v>
      </c>
      <c r="P123">
        <v>13</v>
      </c>
      <c r="Q123">
        <v>13</v>
      </c>
      <c r="R123">
        <v>20</v>
      </c>
      <c r="S123">
        <v>41</v>
      </c>
      <c r="T123">
        <v>66</v>
      </c>
      <c r="U123">
        <v>364</v>
      </c>
      <c r="V123">
        <v>5</v>
      </c>
      <c r="W123">
        <f t="shared" si="114"/>
        <v>141.5</v>
      </c>
      <c r="X123">
        <f t="shared" si="115"/>
        <v>16</v>
      </c>
      <c r="Y123">
        <f t="shared" si="116"/>
        <v>6</v>
      </c>
      <c r="Z123">
        <f t="shared" si="117"/>
        <v>6</v>
      </c>
      <c r="AA123">
        <f t="shared" si="118"/>
        <v>5</v>
      </c>
      <c r="AB123">
        <f t="shared" si="119"/>
        <v>1</v>
      </c>
      <c r="AC123">
        <f t="shared" si="120"/>
        <v>0</v>
      </c>
      <c r="AD123">
        <f t="shared" si="121"/>
        <v>126.5</v>
      </c>
      <c r="AE123">
        <f t="shared" si="122"/>
        <v>336</v>
      </c>
      <c r="AF123">
        <f t="shared" si="123"/>
        <v>24</v>
      </c>
      <c r="AG123">
        <f t="shared" si="124"/>
        <v>-13</v>
      </c>
      <c r="AH123">
        <f t="shared" si="125"/>
        <v>-2</v>
      </c>
      <c r="AI123">
        <f t="shared" si="126"/>
        <v>0</v>
      </c>
      <c r="AJ123">
        <f t="shared" si="127"/>
        <v>0</v>
      </c>
      <c r="AK123">
        <f t="shared" si="128"/>
        <v>0</v>
      </c>
      <c r="AL123">
        <f t="shared" si="129"/>
        <v>34</v>
      </c>
      <c r="AM123">
        <f t="shared" si="130"/>
        <v>505.5</v>
      </c>
      <c r="AN123">
        <f t="shared" si="131"/>
        <v>396</v>
      </c>
      <c r="AO123" s="1">
        <f t="shared" si="132"/>
        <v>1.2765151515151516</v>
      </c>
    </row>
    <row r="124" spans="1:41" x14ac:dyDescent="0.25">
      <c r="A124" t="s">
        <v>4</v>
      </c>
      <c r="B124">
        <v>6</v>
      </c>
      <c r="C124">
        <v>221</v>
      </c>
      <c r="D124">
        <v>96</v>
      </c>
      <c r="E124">
        <v>1</v>
      </c>
      <c r="F124">
        <v>37</v>
      </c>
      <c r="G124">
        <v>5</v>
      </c>
      <c r="H124">
        <v>0</v>
      </c>
      <c r="I124">
        <v>0</v>
      </c>
      <c r="J124">
        <v>0</v>
      </c>
      <c r="K124">
        <v>307</v>
      </c>
      <c r="L124">
        <v>16</v>
      </c>
      <c r="M124">
        <v>1</v>
      </c>
      <c r="N124" t="s">
        <v>5</v>
      </c>
      <c r="O124">
        <v>30</v>
      </c>
      <c r="P124">
        <v>41</v>
      </c>
      <c r="Q124">
        <v>52</v>
      </c>
      <c r="R124">
        <v>52</v>
      </c>
      <c r="S124">
        <v>66</v>
      </c>
      <c r="T124">
        <v>66</v>
      </c>
      <c r="U124">
        <v>364</v>
      </c>
      <c r="V124">
        <v>4</v>
      </c>
      <c r="W124">
        <f t="shared" si="114"/>
        <v>23</v>
      </c>
      <c r="X124">
        <f t="shared" si="115"/>
        <v>3</v>
      </c>
      <c r="Y124">
        <f t="shared" si="116"/>
        <v>1</v>
      </c>
      <c r="Z124">
        <f t="shared" si="117"/>
        <v>0</v>
      </c>
      <c r="AA124">
        <f t="shared" si="118"/>
        <v>0</v>
      </c>
      <c r="AB124">
        <f t="shared" si="119"/>
        <v>0</v>
      </c>
      <c r="AC124">
        <f t="shared" si="120"/>
        <v>0</v>
      </c>
      <c r="AD124">
        <f t="shared" si="121"/>
        <v>110.5</v>
      </c>
      <c r="AE124">
        <f t="shared" si="122"/>
        <v>288</v>
      </c>
      <c r="AF124">
        <f t="shared" si="123"/>
        <v>8</v>
      </c>
      <c r="AG124">
        <f t="shared" si="124"/>
        <v>-18.5</v>
      </c>
      <c r="AH124">
        <f t="shared" si="125"/>
        <v>-5</v>
      </c>
      <c r="AI124">
        <f t="shared" si="126"/>
        <v>0</v>
      </c>
      <c r="AJ124">
        <f t="shared" si="127"/>
        <v>0</v>
      </c>
      <c r="AK124">
        <f t="shared" si="128"/>
        <v>0</v>
      </c>
      <c r="AL124">
        <f t="shared" si="129"/>
        <v>4</v>
      </c>
      <c r="AM124">
        <f t="shared" si="130"/>
        <v>387</v>
      </c>
      <c r="AN124">
        <f t="shared" si="131"/>
        <v>360</v>
      </c>
      <c r="AO124" s="1">
        <f t="shared" si="132"/>
        <v>1.075</v>
      </c>
    </row>
    <row r="125" spans="1:41" x14ac:dyDescent="0.25">
      <c r="A125" t="s">
        <v>5</v>
      </c>
      <c r="B125">
        <v>5</v>
      </c>
      <c r="C125">
        <v>210</v>
      </c>
      <c r="D125">
        <v>85</v>
      </c>
      <c r="E125">
        <v>1</v>
      </c>
      <c r="F125">
        <v>25</v>
      </c>
      <c r="G125">
        <v>3</v>
      </c>
      <c r="H125">
        <v>0</v>
      </c>
      <c r="I125">
        <v>0</v>
      </c>
      <c r="J125">
        <v>0</v>
      </c>
      <c r="K125">
        <v>185</v>
      </c>
      <c r="L125">
        <v>16</v>
      </c>
      <c r="M125">
        <v>0</v>
      </c>
      <c r="N125" t="s">
        <v>4</v>
      </c>
      <c r="O125">
        <v>13</v>
      </c>
      <c r="P125">
        <v>24</v>
      </c>
      <c r="Q125">
        <v>30</v>
      </c>
      <c r="R125">
        <v>52</v>
      </c>
      <c r="S125">
        <v>66</v>
      </c>
      <c r="T125" t="s">
        <v>39</v>
      </c>
      <c r="U125">
        <v>364</v>
      </c>
      <c r="V125">
        <v>4</v>
      </c>
      <c r="W125">
        <f t="shared" si="114"/>
        <v>1.5</v>
      </c>
      <c r="X125">
        <f t="shared" si="115"/>
        <v>6</v>
      </c>
      <c r="Y125">
        <f t="shared" si="116"/>
        <v>4</v>
      </c>
      <c r="Z125">
        <f t="shared" si="117"/>
        <v>3</v>
      </c>
      <c r="AA125">
        <f t="shared" si="118"/>
        <v>0</v>
      </c>
      <c r="AB125">
        <f t="shared" si="119"/>
        <v>0</v>
      </c>
      <c r="AC125">
        <f t="shared" si="120"/>
        <v>0</v>
      </c>
      <c r="AD125">
        <f t="shared" si="121"/>
        <v>105</v>
      </c>
      <c r="AE125">
        <f t="shared" si="122"/>
        <v>255</v>
      </c>
      <c r="AF125">
        <f t="shared" si="123"/>
        <v>8</v>
      </c>
      <c r="AG125">
        <f t="shared" si="124"/>
        <v>-12.5</v>
      </c>
      <c r="AH125">
        <f t="shared" si="125"/>
        <v>-3</v>
      </c>
      <c r="AI125">
        <f t="shared" si="126"/>
        <v>0</v>
      </c>
      <c r="AJ125">
        <f t="shared" si="127"/>
        <v>0</v>
      </c>
      <c r="AK125">
        <f t="shared" si="128"/>
        <v>0</v>
      </c>
      <c r="AL125">
        <f t="shared" si="129"/>
        <v>13</v>
      </c>
      <c r="AM125">
        <f t="shared" si="130"/>
        <v>365.5</v>
      </c>
      <c r="AN125">
        <f t="shared" si="131"/>
        <v>324</v>
      </c>
      <c r="AO125" s="1">
        <f t="shared" si="132"/>
        <v>1.1280864197530864</v>
      </c>
    </row>
    <row r="126" spans="1:41" x14ac:dyDescent="0.25">
      <c r="A126" t="s">
        <v>7</v>
      </c>
      <c r="B126">
        <v>6</v>
      </c>
      <c r="C126">
        <v>203</v>
      </c>
      <c r="D126">
        <v>78</v>
      </c>
      <c r="E126">
        <v>5</v>
      </c>
      <c r="F126">
        <v>36</v>
      </c>
      <c r="G126">
        <v>2</v>
      </c>
      <c r="H126">
        <v>0</v>
      </c>
      <c r="I126">
        <v>0</v>
      </c>
      <c r="J126">
        <v>0</v>
      </c>
      <c r="K126">
        <v>299</v>
      </c>
      <c r="L126">
        <v>16</v>
      </c>
      <c r="M126">
        <v>0</v>
      </c>
      <c r="N126" t="s">
        <v>2</v>
      </c>
      <c r="O126">
        <v>30</v>
      </c>
      <c r="P126">
        <v>30</v>
      </c>
      <c r="Q126">
        <v>41</v>
      </c>
      <c r="R126">
        <v>66</v>
      </c>
      <c r="S126">
        <v>66</v>
      </c>
      <c r="T126">
        <v>66</v>
      </c>
      <c r="U126">
        <v>364</v>
      </c>
      <c r="V126">
        <v>3</v>
      </c>
      <c r="W126">
        <f t="shared" si="114"/>
        <v>-1.5</v>
      </c>
      <c r="X126">
        <f t="shared" si="115"/>
        <v>3</v>
      </c>
      <c r="Y126">
        <f t="shared" si="116"/>
        <v>3</v>
      </c>
      <c r="Z126">
        <f t="shared" si="117"/>
        <v>1</v>
      </c>
      <c r="AA126">
        <f t="shared" si="118"/>
        <v>0</v>
      </c>
      <c r="AB126">
        <f t="shared" si="119"/>
        <v>0</v>
      </c>
      <c r="AC126">
        <f t="shared" si="120"/>
        <v>0</v>
      </c>
      <c r="AD126">
        <f t="shared" si="121"/>
        <v>101.5</v>
      </c>
      <c r="AE126">
        <f t="shared" si="122"/>
        <v>234</v>
      </c>
      <c r="AF126">
        <f t="shared" si="123"/>
        <v>40</v>
      </c>
      <c r="AG126">
        <f t="shared" si="124"/>
        <v>-18</v>
      </c>
      <c r="AH126">
        <f t="shared" si="125"/>
        <v>-2</v>
      </c>
      <c r="AI126">
        <f t="shared" si="126"/>
        <v>0</v>
      </c>
      <c r="AJ126">
        <f t="shared" si="127"/>
        <v>0</v>
      </c>
      <c r="AK126">
        <f t="shared" si="128"/>
        <v>0</v>
      </c>
      <c r="AL126">
        <f t="shared" si="129"/>
        <v>7</v>
      </c>
      <c r="AM126">
        <f t="shared" si="130"/>
        <v>362.5</v>
      </c>
      <c r="AN126">
        <f t="shared" si="131"/>
        <v>324</v>
      </c>
      <c r="AO126" s="1">
        <f t="shared" si="132"/>
        <v>1.1188271604938271</v>
      </c>
    </row>
    <row r="127" spans="1:41" x14ac:dyDescent="0.25">
      <c r="A127" t="s">
        <v>0</v>
      </c>
      <c r="B127">
        <v>6</v>
      </c>
      <c r="C127">
        <v>183</v>
      </c>
      <c r="D127">
        <v>70</v>
      </c>
      <c r="E127">
        <v>3</v>
      </c>
      <c r="F127">
        <v>31</v>
      </c>
      <c r="G127">
        <v>1</v>
      </c>
      <c r="H127">
        <v>0</v>
      </c>
      <c r="I127">
        <v>0</v>
      </c>
      <c r="J127">
        <v>0</v>
      </c>
      <c r="K127">
        <v>297</v>
      </c>
      <c r="L127">
        <v>16</v>
      </c>
      <c r="M127">
        <v>1</v>
      </c>
      <c r="N127" t="s">
        <v>6</v>
      </c>
      <c r="O127">
        <v>13</v>
      </c>
      <c r="P127">
        <v>20</v>
      </c>
      <c r="Q127">
        <v>66</v>
      </c>
      <c r="R127">
        <v>66</v>
      </c>
      <c r="S127">
        <v>66</v>
      </c>
      <c r="T127">
        <v>66</v>
      </c>
      <c r="U127">
        <v>364</v>
      </c>
      <c r="V127">
        <v>2</v>
      </c>
      <c r="W127">
        <f t="shared" si="114"/>
        <v>-44</v>
      </c>
      <c r="X127">
        <f t="shared" si="115"/>
        <v>6</v>
      </c>
      <c r="Y127">
        <f t="shared" si="116"/>
        <v>5</v>
      </c>
      <c r="Z127">
        <f t="shared" si="117"/>
        <v>0</v>
      </c>
      <c r="AA127">
        <f t="shared" si="118"/>
        <v>0</v>
      </c>
      <c r="AB127">
        <f t="shared" si="119"/>
        <v>0</v>
      </c>
      <c r="AC127">
        <f t="shared" si="120"/>
        <v>0</v>
      </c>
      <c r="AD127">
        <f t="shared" si="121"/>
        <v>91.5</v>
      </c>
      <c r="AE127">
        <f t="shared" si="122"/>
        <v>210</v>
      </c>
      <c r="AF127">
        <f t="shared" si="123"/>
        <v>24</v>
      </c>
      <c r="AG127">
        <f t="shared" si="124"/>
        <v>-15.5</v>
      </c>
      <c r="AH127">
        <f t="shared" si="125"/>
        <v>-1</v>
      </c>
      <c r="AI127">
        <f t="shared" si="126"/>
        <v>0</v>
      </c>
      <c r="AJ127">
        <f t="shared" si="127"/>
        <v>0</v>
      </c>
      <c r="AK127">
        <f t="shared" si="128"/>
        <v>0</v>
      </c>
      <c r="AL127">
        <f t="shared" si="129"/>
        <v>11</v>
      </c>
      <c r="AM127">
        <f t="shared" si="130"/>
        <v>320</v>
      </c>
      <c r="AN127">
        <f t="shared" si="131"/>
        <v>288</v>
      </c>
      <c r="AO127" s="1">
        <f t="shared" si="132"/>
        <v>1.1111111111111112</v>
      </c>
    </row>
    <row r="128" spans="1:41" x14ac:dyDescent="0.25">
      <c r="A128" t="s">
        <v>6</v>
      </c>
      <c r="B128">
        <v>6</v>
      </c>
      <c r="C128">
        <v>182</v>
      </c>
      <c r="D128">
        <v>73</v>
      </c>
      <c r="E128">
        <v>1</v>
      </c>
      <c r="F128">
        <v>31</v>
      </c>
      <c r="G128">
        <v>1</v>
      </c>
      <c r="H128">
        <v>0</v>
      </c>
      <c r="I128">
        <v>0</v>
      </c>
      <c r="J128">
        <v>0</v>
      </c>
      <c r="K128">
        <v>307</v>
      </c>
      <c r="L128">
        <v>16</v>
      </c>
      <c r="M128">
        <v>0</v>
      </c>
      <c r="N128" t="s">
        <v>0</v>
      </c>
      <c r="O128">
        <v>13</v>
      </c>
      <c r="P128">
        <v>30</v>
      </c>
      <c r="Q128">
        <v>66</v>
      </c>
      <c r="R128">
        <v>66</v>
      </c>
      <c r="S128">
        <v>66</v>
      </c>
      <c r="T128">
        <v>66</v>
      </c>
      <c r="U128">
        <v>364</v>
      </c>
      <c r="V128">
        <v>2</v>
      </c>
      <c r="W128">
        <f t="shared" si="114"/>
        <v>-53.5</v>
      </c>
      <c r="X128">
        <f t="shared" si="115"/>
        <v>6</v>
      </c>
      <c r="Y128">
        <f t="shared" si="116"/>
        <v>3</v>
      </c>
      <c r="Z128">
        <f t="shared" si="117"/>
        <v>0</v>
      </c>
      <c r="AA128">
        <f t="shared" si="118"/>
        <v>0</v>
      </c>
      <c r="AB128">
        <f t="shared" si="119"/>
        <v>0</v>
      </c>
      <c r="AC128">
        <f t="shared" si="120"/>
        <v>0</v>
      </c>
      <c r="AD128">
        <f t="shared" si="121"/>
        <v>91</v>
      </c>
      <c r="AE128">
        <f t="shared" si="122"/>
        <v>219</v>
      </c>
      <c r="AF128">
        <f t="shared" si="123"/>
        <v>8</v>
      </c>
      <c r="AG128">
        <f t="shared" si="124"/>
        <v>-15.5</v>
      </c>
      <c r="AH128">
        <f t="shared" si="125"/>
        <v>-1</v>
      </c>
      <c r="AI128">
        <f t="shared" si="126"/>
        <v>0</v>
      </c>
      <c r="AJ128">
        <f t="shared" si="127"/>
        <v>0</v>
      </c>
      <c r="AK128">
        <f t="shared" si="128"/>
        <v>0</v>
      </c>
      <c r="AL128">
        <f t="shared" si="129"/>
        <v>9</v>
      </c>
      <c r="AM128">
        <f t="shared" si="130"/>
        <v>310.5</v>
      </c>
      <c r="AN128">
        <f t="shared" si="131"/>
        <v>288</v>
      </c>
      <c r="AO128" s="1">
        <f t="shared" si="132"/>
        <v>1.078125</v>
      </c>
    </row>
    <row r="129" spans="1:41" x14ac:dyDescent="0.25">
      <c r="A129" t="s">
        <v>3</v>
      </c>
      <c r="B129">
        <v>6</v>
      </c>
      <c r="C129">
        <v>166</v>
      </c>
      <c r="D129">
        <v>56</v>
      </c>
      <c r="E129">
        <v>0</v>
      </c>
      <c r="F129">
        <v>28</v>
      </c>
      <c r="G129">
        <v>2</v>
      </c>
      <c r="H129">
        <v>0</v>
      </c>
      <c r="I129">
        <v>0</v>
      </c>
      <c r="J129">
        <v>0</v>
      </c>
      <c r="K129">
        <v>389</v>
      </c>
      <c r="L129">
        <v>16</v>
      </c>
      <c r="M129">
        <v>0</v>
      </c>
      <c r="N129" t="s">
        <v>1</v>
      </c>
      <c r="O129">
        <v>59</v>
      </c>
      <c r="P129">
        <v>66</v>
      </c>
      <c r="Q129">
        <v>66</v>
      </c>
      <c r="R129">
        <v>66</v>
      </c>
      <c r="S129">
        <v>66</v>
      </c>
      <c r="T129">
        <v>66</v>
      </c>
      <c r="U129">
        <v>364</v>
      </c>
      <c r="V129">
        <v>6</v>
      </c>
      <c r="W129">
        <f t="shared" si="114"/>
        <v>-129</v>
      </c>
      <c r="X129">
        <f t="shared" si="115"/>
        <v>0</v>
      </c>
      <c r="Y129">
        <f t="shared" si="116"/>
        <v>0</v>
      </c>
      <c r="Z129">
        <f t="shared" si="117"/>
        <v>0</v>
      </c>
      <c r="AA129">
        <f t="shared" si="118"/>
        <v>0</v>
      </c>
      <c r="AB129">
        <f t="shared" si="119"/>
        <v>0</v>
      </c>
      <c r="AC129">
        <f t="shared" si="120"/>
        <v>0</v>
      </c>
      <c r="AD129">
        <f t="shared" si="121"/>
        <v>83</v>
      </c>
      <c r="AE129">
        <f t="shared" si="122"/>
        <v>168</v>
      </c>
      <c r="AF129">
        <f t="shared" si="123"/>
        <v>0</v>
      </c>
      <c r="AG129">
        <f t="shared" si="124"/>
        <v>-14</v>
      </c>
      <c r="AH129">
        <f t="shared" si="125"/>
        <v>-2</v>
      </c>
      <c r="AI129">
        <f t="shared" si="126"/>
        <v>0</v>
      </c>
      <c r="AJ129">
        <f t="shared" si="127"/>
        <v>0</v>
      </c>
      <c r="AK129">
        <f t="shared" si="128"/>
        <v>0</v>
      </c>
      <c r="AL129">
        <f t="shared" si="129"/>
        <v>0</v>
      </c>
      <c r="AM129">
        <f t="shared" si="130"/>
        <v>235</v>
      </c>
      <c r="AN129">
        <f t="shared" si="131"/>
        <v>252</v>
      </c>
      <c r="AO129" s="1">
        <f t="shared" si="132"/>
        <v>0.93253968253968256</v>
      </c>
    </row>
    <row r="130" spans="1:41" x14ac:dyDescent="0.25">
      <c r="A130" t="s">
        <v>7</v>
      </c>
      <c r="B130">
        <v>6</v>
      </c>
      <c r="C130">
        <v>260</v>
      </c>
      <c r="D130">
        <v>88</v>
      </c>
      <c r="E130">
        <v>5</v>
      </c>
      <c r="F130">
        <v>72</v>
      </c>
      <c r="G130">
        <v>7</v>
      </c>
      <c r="H130">
        <v>0</v>
      </c>
      <c r="I130">
        <v>0</v>
      </c>
      <c r="J130">
        <v>0</v>
      </c>
      <c r="K130">
        <v>128</v>
      </c>
      <c r="L130">
        <v>17</v>
      </c>
      <c r="M130">
        <v>1</v>
      </c>
      <c r="N130" t="s">
        <v>3</v>
      </c>
      <c r="O130">
        <v>1</v>
      </c>
      <c r="P130">
        <v>6</v>
      </c>
      <c r="Q130">
        <v>16</v>
      </c>
      <c r="R130">
        <v>24</v>
      </c>
      <c r="S130">
        <v>29</v>
      </c>
      <c r="T130">
        <v>52</v>
      </c>
      <c r="U130">
        <v>361</v>
      </c>
      <c r="V130">
        <v>6</v>
      </c>
      <c r="W130">
        <f t="shared" ref="W130:W137" si="133">AM130-U130</f>
        <v>104</v>
      </c>
      <c r="X130">
        <f t="shared" ref="X130:X137" si="134">IF(O130=1,50,IF(O130=2,25,IF(O130=3,18,IF(O130=4,16,IF(O130=5,14,IF(O130=6,12,IF(O130=7,10,IF(O130=8,9,IF(O130=10,7,IF(O130&lt;=15,6,IF(O130&lt;=20,5,IF(O130&lt;=25,4,IF(O130&lt;=30,3,IF(O130&lt;=40,2,IF(O130&lt;=50,1,IF(O130&gt;50,0))))))))))))))))</f>
        <v>50</v>
      </c>
      <c r="Y130">
        <f t="shared" ref="Y130:Y137" si="135">IF(P130=1,50,IF(P130=2,25,IF(P130=3,18,IF(P130=4,16,IF(P130=5,14,IF(P130=6,12,IF(P130=7,10,IF(P130=8,9,IF(P130=10,7,IF(P130&lt;=15,6,IF(P130&lt;=20,5,IF(P130&lt;=25,4,IF(P130&lt;=30,3,IF(P130&lt;=40,2,IF(P130&lt;=50,1,IF(P130&gt;50,0))))))))))))))))</f>
        <v>12</v>
      </c>
      <c r="Z130">
        <f t="shared" ref="Z130:Z137" si="136">IF(Q130=1,50,IF(Q130=2,25,IF(Q130=3,18,IF(Q130=4,16,IF(Q130=5,14,IF(Q130=6,12,IF(Q130=7,10,IF(Q130=8,9,IF(Q130=10,7,IF(Q130&lt;=15,6,IF(Q130&lt;=20,5,IF(Q130&lt;=25,4,IF(Q130&lt;=30,3,IF(Q130&lt;=40,2,IF(Q130&lt;=50,1,IF(Q130&gt;50,0))))))))))))))))</f>
        <v>5</v>
      </c>
      <c r="AA130">
        <f t="shared" ref="AA130:AA137" si="137">IF(R130=1,50,IF(R130=2,25,IF(R130=3,18,IF(R130=4,16,IF(R130=5,14,IF(R130=6,12,IF(R130=7,10,IF(R130=8,9,IF(R130=10,7,IF(R130&lt;=15,6,IF(R130&lt;=20,5,IF(R130&lt;=25,4,IF(R130&lt;=30,3,IF(R130&lt;=40,2,IF(R130&lt;=50,1,IF(R130&gt;50,0))))))))))))))))</f>
        <v>4</v>
      </c>
      <c r="AB130">
        <f t="shared" ref="AB130:AB137" si="138">IF(S130=1,50,IF(S130=2,25,IF(S130=3,18,IF(S130=4,16,IF(S130=5,14,IF(S130=6,12,IF(S130=7,10,IF(S130=8,9,IF(S130=10,7,IF(S130&lt;=15,6,IF(S130&lt;=20,5,IF(S130&lt;=25,4,IF(S130&lt;=30,3,IF(S130&lt;=40,2,IF(S130&lt;=50,1,IF(S130&gt;50,0))))))))))))))))</f>
        <v>3</v>
      </c>
      <c r="AC130">
        <f t="shared" ref="AC130:AC137" si="139">IF(T130=1,50,IF(T130=2,25,IF(T130=3,18,IF(T130=4,16,IF(T130=5,14,IF(T130=6,12,IF(T130=7,10,IF(T130=8,9,IF(T130=10,7,IF(T130&lt;=15,6,IF(T130&lt;=20,5,IF(T130&lt;=25,4,IF(T130&lt;=30,3,IF(T130&lt;=40,2,IF(T130&lt;=50,1,IF(T130&gt;50,0))))))))))))))))</f>
        <v>0</v>
      </c>
      <c r="AD130">
        <f t="shared" ref="AD130:AD137" si="140">C130*0.5</f>
        <v>130</v>
      </c>
      <c r="AE130">
        <f t="shared" ref="AE130:AE137" si="141">D130*3</f>
        <v>264</v>
      </c>
      <c r="AF130">
        <f t="shared" ref="AF130:AF137" si="142">E130*8</f>
        <v>40</v>
      </c>
      <c r="AG130">
        <f t="shared" ref="AG130:AG137" si="143">-1*(F130/2)</f>
        <v>-36</v>
      </c>
      <c r="AH130">
        <f t="shared" ref="AH130:AH137" si="144">G130*-1</f>
        <v>-7</v>
      </c>
      <c r="AI130">
        <f t="shared" ref="AI130:AI137" si="145">H130*13</f>
        <v>0</v>
      </c>
      <c r="AJ130">
        <f t="shared" ref="AJ130:AJ137" si="146">I130*5</f>
        <v>0</v>
      </c>
      <c r="AK130">
        <f t="shared" ref="AK130:AK137" si="147">J130*-1</f>
        <v>0</v>
      </c>
      <c r="AL130">
        <f t="shared" ref="AL130:AL137" si="148">SUM(X130:AC130)</f>
        <v>74</v>
      </c>
      <c r="AM130">
        <f t="shared" ref="AM130:AM137" si="149">SUM(AD130:AL130)</f>
        <v>465</v>
      </c>
      <c r="AN130">
        <f t="shared" ref="AN130:AN137" si="150">SUM(C130:G130,J130)</f>
        <v>432</v>
      </c>
      <c r="AO130" s="1">
        <f t="shared" ref="AO130:AO137" si="151">AM130/AN130</f>
        <v>1.0763888888888888</v>
      </c>
    </row>
    <row r="131" spans="1:41" x14ac:dyDescent="0.25">
      <c r="A131" t="s">
        <v>3</v>
      </c>
      <c r="B131">
        <v>6</v>
      </c>
      <c r="C131">
        <v>272</v>
      </c>
      <c r="D131">
        <v>81</v>
      </c>
      <c r="E131">
        <v>4</v>
      </c>
      <c r="F131">
        <v>72</v>
      </c>
      <c r="G131">
        <v>3</v>
      </c>
      <c r="H131">
        <v>0</v>
      </c>
      <c r="I131">
        <v>0</v>
      </c>
      <c r="J131">
        <v>0</v>
      </c>
      <c r="K131">
        <v>116</v>
      </c>
      <c r="L131">
        <v>17</v>
      </c>
      <c r="M131">
        <v>0</v>
      </c>
      <c r="N131" t="s">
        <v>7</v>
      </c>
      <c r="O131">
        <v>2</v>
      </c>
      <c r="P131">
        <v>4</v>
      </c>
      <c r="Q131">
        <v>13</v>
      </c>
      <c r="R131">
        <v>16</v>
      </c>
      <c r="S131">
        <v>34</v>
      </c>
      <c r="T131">
        <v>47</v>
      </c>
      <c r="U131">
        <v>361</v>
      </c>
      <c r="V131">
        <v>6</v>
      </c>
      <c r="W131">
        <f t="shared" si="133"/>
        <v>66</v>
      </c>
      <c r="X131">
        <f t="shared" si="134"/>
        <v>25</v>
      </c>
      <c r="Y131">
        <f t="shared" si="135"/>
        <v>16</v>
      </c>
      <c r="Z131">
        <f t="shared" si="136"/>
        <v>6</v>
      </c>
      <c r="AA131">
        <f t="shared" si="137"/>
        <v>5</v>
      </c>
      <c r="AB131">
        <f t="shared" si="138"/>
        <v>2</v>
      </c>
      <c r="AC131">
        <f t="shared" si="139"/>
        <v>1</v>
      </c>
      <c r="AD131">
        <f t="shared" si="140"/>
        <v>136</v>
      </c>
      <c r="AE131">
        <f t="shared" si="141"/>
        <v>243</v>
      </c>
      <c r="AF131">
        <f t="shared" si="142"/>
        <v>32</v>
      </c>
      <c r="AG131">
        <f t="shared" si="143"/>
        <v>-36</v>
      </c>
      <c r="AH131">
        <f t="shared" si="144"/>
        <v>-3</v>
      </c>
      <c r="AI131">
        <f t="shared" si="145"/>
        <v>0</v>
      </c>
      <c r="AJ131">
        <f t="shared" si="146"/>
        <v>0</v>
      </c>
      <c r="AK131">
        <f t="shared" si="147"/>
        <v>0</v>
      </c>
      <c r="AL131">
        <f t="shared" si="148"/>
        <v>55</v>
      </c>
      <c r="AM131">
        <f t="shared" si="149"/>
        <v>427</v>
      </c>
      <c r="AN131">
        <f t="shared" si="150"/>
        <v>432</v>
      </c>
      <c r="AO131" s="1">
        <f t="shared" si="151"/>
        <v>0.98842592592592593</v>
      </c>
    </row>
    <row r="132" spans="1:41" x14ac:dyDescent="0.25">
      <c r="A132" t="s">
        <v>5</v>
      </c>
      <c r="B132">
        <v>6</v>
      </c>
      <c r="C132">
        <v>262</v>
      </c>
      <c r="D132">
        <v>86</v>
      </c>
      <c r="E132">
        <v>1</v>
      </c>
      <c r="F132">
        <v>75</v>
      </c>
      <c r="G132">
        <v>8</v>
      </c>
      <c r="H132">
        <v>0</v>
      </c>
      <c r="I132">
        <v>0</v>
      </c>
      <c r="J132">
        <v>0</v>
      </c>
      <c r="K132">
        <v>146</v>
      </c>
      <c r="L132">
        <v>17</v>
      </c>
      <c r="M132">
        <v>1</v>
      </c>
      <c r="N132" t="s">
        <v>0</v>
      </c>
      <c r="O132">
        <v>4</v>
      </c>
      <c r="P132">
        <v>8</v>
      </c>
      <c r="Q132">
        <v>10</v>
      </c>
      <c r="R132">
        <v>29</v>
      </c>
      <c r="S132">
        <v>43</v>
      </c>
      <c r="T132">
        <v>52</v>
      </c>
      <c r="U132">
        <v>361</v>
      </c>
      <c r="V132">
        <v>6</v>
      </c>
      <c r="W132">
        <f t="shared" si="133"/>
        <v>26.5</v>
      </c>
      <c r="X132">
        <f t="shared" si="134"/>
        <v>16</v>
      </c>
      <c r="Y132">
        <f t="shared" si="135"/>
        <v>9</v>
      </c>
      <c r="Z132">
        <f t="shared" si="136"/>
        <v>7</v>
      </c>
      <c r="AA132">
        <f t="shared" si="137"/>
        <v>3</v>
      </c>
      <c r="AB132">
        <f t="shared" si="138"/>
        <v>1</v>
      </c>
      <c r="AC132">
        <f t="shared" si="139"/>
        <v>0</v>
      </c>
      <c r="AD132">
        <f t="shared" si="140"/>
        <v>131</v>
      </c>
      <c r="AE132">
        <f t="shared" si="141"/>
        <v>258</v>
      </c>
      <c r="AF132">
        <f t="shared" si="142"/>
        <v>8</v>
      </c>
      <c r="AG132">
        <f t="shared" si="143"/>
        <v>-37.5</v>
      </c>
      <c r="AH132">
        <f t="shared" si="144"/>
        <v>-8</v>
      </c>
      <c r="AI132">
        <f t="shared" si="145"/>
        <v>0</v>
      </c>
      <c r="AJ132">
        <f t="shared" si="146"/>
        <v>0</v>
      </c>
      <c r="AK132">
        <f t="shared" si="147"/>
        <v>0</v>
      </c>
      <c r="AL132">
        <f t="shared" si="148"/>
        <v>36</v>
      </c>
      <c r="AM132">
        <f t="shared" si="149"/>
        <v>387.5</v>
      </c>
      <c r="AN132">
        <f t="shared" si="150"/>
        <v>432</v>
      </c>
      <c r="AO132" s="1">
        <f t="shared" si="151"/>
        <v>0.8969907407407407</v>
      </c>
    </row>
    <row r="133" spans="1:41" x14ac:dyDescent="0.25">
      <c r="A133" t="s">
        <v>6</v>
      </c>
      <c r="B133">
        <v>6</v>
      </c>
      <c r="C133">
        <v>267</v>
      </c>
      <c r="D133">
        <v>83</v>
      </c>
      <c r="E133">
        <v>1</v>
      </c>
      <c r="F133">
        <v>70</v>
      </c>
      <c r="G133">
        <v>11</v>
      </c>
      <c r="H133">
        <v>0</v>
      </c>
      <c r="I133">
        <v>0</v>
      </c>
      <c r="J133">
        <v>0</v>
      </c>
      <c r="K133">
        <v>159</v>
      </c>
      <c r="L133">
        <v>17</v>
      </c>
      <c r="M133">
        <v>1</v>
      </c>
      <c r="N133" t="s">
        <v>1</v>
      </c>
      <c r="O133">
        <v>8</v>
      </c>
      <c r="P133">
        <v>16</v>
      </c>
      <c r="Q133">
        <v>21</v>
      </c>
      <c r="R133">
        <v>34</v>
      </c>
      <c r="S133">
        <v>38</v>
      </c>
      <c r="T133">
        <v>42</v>
      </c>
      <c r="U133">
        <v>361</v>
      </c>
      <c r="V133">
        <v>6</v>
      </c>
      <c r="W133">
        <f t="shared" si="133"/>
        <v>6.5</v>
      </c>
      <c r="X133">
        <f t="shared" si="134"/>
        <v>9</v>
      </c>
      <c r="Y133">
        <f t="shared" si="135"/>
        <v>5</v>
      </c>
      <c r="Z133">
        <f t="shared" si="136"/>
        <v>4</v>
      </c>
      <c r="AA133">
        <f t="shared" si="137"/>
        <v>2</v>
      </c>
      <c r="AB133">
        <f t="shared" si="138"/>
        <v>2</v>
      </c>
      <c r="AC133">
        <f t="shared" si="139"/>
        <v>1</v>
      </c>
      <c r="AD133">
        <f t="shared" si="140"/>
        <v>133.5</v>
      </c>
      <c r="AE133">
        <f t="shared" si="141"/>
        <v>249</v>
      </c>
      <c r="AF133">
        <f t="shared" si="142"/>
        <v>8</v>
      </c>
      <c r="AG133">
        <f t="shared" si="143"/>
        <v>-35</v>
      </c>
      <c r="AH133">
        <f t="shared" si="144"/>
        <v>-11</v>
      </c>
      <c r="AI133">
        <f t="shared" si="145"/>
        <v>0</v>
      </c>
      <c r="AJ133">
        <f t="shared" si="146"/>
        <v>0</v>
      </c>
      <c r="AK133">
        <f t="shared" si="147"/>
        <v>0</v>
      </c>
      <c r="AL133">
        <f t="shared" si="148"/>
        <v>23</v>
      </c>
      <c r="AM133">
        <f t="shared" si="149"/>
        <v>367.5</v>
      </c>
      <c r="AN133">
        <f t="shared" si="150"/>
        <v>432</v>
      </c>
      <c r="AO133" s="1">
        <f t="shared" si="151"/>
        <v>0.85069444444444442</v>
      </c>
    </row>
    <row r="134" spans="1:41" x14ac:dyDescent="0.25">
      <c r="A134" t="s">
        <v>2</v>
      </c>
      <c r="B134">
        <v>6</v>
      </c>
      <c r="C134">
        <v>236</v>
      </c>
      <c r="D134">
        <v>91</v>
      </c>
      <c r="E134">
        <v>0</v>
      </c>
      <c r="F134">
        <v>89</v>
      </c>
      <c r="G134">
        <v>15</v>
      </c>
      <c r="H134">
        <v>0</v>
      </c>
      <c r="I134">
        <v>0</v>
      </c>
      <c r="J134">
        <v>1</v>
      </c>
      <c r="K134">
        <v>240</v>
      </c>
      <c r="L134">
        <v>17</v>
      </c>
      <c r="M134">
        <v>1</v>
      </c>
      <c r="N134" t="s">
        <v>4</v>
      </c>
      <c r="O134">
        <v>3</v>
      </c>
      <c r="P134">
        <v>21</v>
      </c>
      <c r="Q134">
        <v>38</v>
      </c>
      <c r="R134">
        <v>47</v>
      </c>
      <c r="S134">
        <v>64</v>
      </c>
      <c r="T134">
        <v>67</v>
      </c>
      <c r="U134">
        <v>361</v>
      </c>
      <c r="V134">
        <v>6</v>
      </c>
      <c r="W134">
        <f t="shared" si="133"/>
        <v>-5.5</v>
      </c>
      <c r="X134">
        <f t="shared" si="134"/>
        <v>18</v>
      </c>
      <c r="Y134">
        <f t="shared" si="135"/>
        <v>4</v>
      </c>
      <c r="Z134">
        <f t="shared" si="136"/>
        <v>2</v>
      </c>
      <c r="AA134">
        <f t="shared" si="137"/>
        <v>1</v>
      </c>
      <c r="AB134">
        <f t="shared" si="138"/>
        <v>0</v>
      </c>
      <c r="AC134">
        <f t="shared" si="139"/>
        <v>0</v>
      </c>
      <c r="AD134">
        <f t="shared" si="140"/>
        <v>118</v>
      </c>
      <c r="AE134">
        <f t="shared" si="141"/>
        <v>273</v>
      </c>
      <c r="AF134">
        <f t="shared" si="142"/>
        <v>0</v>
      </c>
      <c r="AG134">
        <f t="shared" si="143"/>
        <v>-44.5</v>
      </c>
      <c r="AH134">
        <f t="shared" si="144"/>
        <v>-15</v>
      </c>
      <c r="AI134">
        <f t="shared" si="145"/>
        <v>0</v>
      </c>
      <c r="AJ134">
        <f t="shared" si="146"/>
        <v>0</v>
      </c>
      <c r="AK134">
        <f t="shared" si="147"/>
        <v>-1</v>
      </c>
      <c r="AL134">
        <f t="shared" si="148"/>
        <v>25</v>
      </c>
      <c r="AM134">
        <f t="shared" si="149"/>
        <v>355.5</v>
      </c>
      <c r="AN134">
        <f t="shared" si="150"/>
        <v>432</v>
      </c>
      <c r="AO134" s="1">
        <f t="shared" si="151"/>
        <v>0.82291666666666663</v>
      </c>
    </row>
    <row r="135" spans="1:41" x14ac:dyDescent="0.25">
      <c r="A135" t="s">
        <v>4</v>
      </c>
      <c r="B135">
        <v>6</v>
      </c>
      <c r="C135">
        <v>255</v>
      </c>
      <c r="D135">
        <v>77</v>
      </c>
      <c r="E135">
        <v>2</v>
      </c>
      <c r="F135">
        <v>81</v>
      </c>
      <c r="G135">
        <v>17</v>
      </c>
      <c r="H135">
        <v>0</v>
      </c>
      <c r="I135">
        <v>0</v>
      </c>
      <c r="J135">
        <v>0</v>
      </c>
      <c r="K135">
        <v>256</v>
      </c>
      <c r="L135">
        <v>17</v>
      </c>
      <c r="M135">
        <v>0</v>
      </c>
      <c r="N135" t="s">
        <v>2</v>
      </c>
      <c r="O135">
        <v>16</v>
      </c>
      <c r="P135">
        <v>21</v>
      </c>
      <c r="Q135">
        <v>47</v>
      </c>
      <c r="R135">
        <v>52</v>
      </c>
      <c r="S135">
        <v>60</v>
      </c>
      <c r="T135">
        <v>60</v>
      </c>
      <c r="U135">
        <v>361</v>
      </c>
      <c r="V135">
        <v>6</v>
      </c>
      <c r="W135">
        <f t="shared" si="133"/>
        <v>-34</v>
      </c>
      <c r="X135">
        <f t="shared" si="134"/>
        <v>5</v>
      </c>
      <c r="Y135">
        <f t="shared" si="135"/>
        <v>4</v>
      </c>
      <c r="Z135">
        <f t="shared" si="136"/>
        <v>1</v>
      </c>
      <c r="AA135">
        <f t="shared" si="137"/>
        <v>0</v>
      </c>
      <c r="AB135">
        <f t="shared" si="138"/>
        <v>0</v>
      </c>
      <c r="AC135">
        <f t="shared" si="139"/>
        <v>0</v>
      </c>
      <c r="AD135">
        <f t="shared" si="140"/>
        <v>127.5</v>
      </c>
      <c r="AE135">
        <f t="shared" si="141"/>
        <v>231</v>
      </c>
      <c r="AF135">
        <f t="shared" si="142"/>
        <v>16</v>
      </c>
      <c r="AG135">
        <f t="shared" si="143"/>
        <v>-40.5</v>
      </c>
      <c r="AH135">
        <f t="shared" si="144"/>
        <v>-17</v>
      </c>
      <c r="AI135">
        <f t="shared" si="145"/>
        <v>0</v>
      </c>
      <c r="AJ135">
        <f t="shared" si="146"/>
        <v>0</v>
      </c>
      <c r="AK135">
        <f t="shared" si="147"/>
        <v>0</v>
      </c>
      <c r="AL135">
        <f t="shared" si="148"/>
        <v>10</v>
      </c>
      <c r="AM135">
        <f t="shared" si="149"/>
        <v>327</v>
      </c>
      <c r="AN135">
        <f t="shared" si="150"/>
        <v>432</v>
      </c>
      <c r="AO135" s="1">
        <f t="shared" si="151"/>
        <v>0.75694444444444442</v>
      </c>
    </row>
    <row r="136" spans="1:41" x14ac:dyDescent="0.25">
      <c r="A136" t="s">
        <v>0</v>
      </c>
      <c r="B136">
        <v>6</v>
      </c>
      <c r="C136">
        <v>259</v>
      </c>
      <c r="D136">
        <v>69</v>
      </c>
      <c r="E136">
        <v>3</v>
      </c>
      <c r="F136">
        <v>91</v>
      </c>
      <c r="G136">
        <v>8</v>
      </c>
      <c r="H136">
        <v>0</v>
      </c>
      <c r="I136">
        <v>0</v>
      </c>
      <c r="J136">
        <v>2</v>
      </c>
      <c r="K136">
        <v>269</v>
      </c>
      <c r="L136">
        <v>17</v>
      </c>
      <c r="M136">
        <v>0</v>
      </c>
      <c r="N136" t="s">
        <v>5</v>
      </c>
      <c r="O136">
        <v>16</v>
      </c>
      <c r="P136">
        <v>34</v>
      </c>
      <c r="Q136">
        <v>43</v>
      </c>
      <c r="R136">
        <v>52</v>
      </c>
      <c r="S136">
        <v>60</v>
      </c>
      <c r="T136">
        <v>64</v>
      </c>
      <c r="U136">
        <v>361</v>
      </c>
      <c r="V136">
        <v>6</v>
      </c>
      <c r="W136">
        <f t="shared" si="133"/>
        <v>-48</v>
      </c>
      <c r="X136">
        <f t="shared" si="134"/>
        <v>5</v>
      </c>
      <c r="Y136">
        <f t="shared" si="135"/>
        <v>2</v>
      </c>
      <c r="Z136">
        <f t="shared" si="136"/>
        <v>1</v>
      </c>
      <c r="AA136">
        <f t="shared" si="137"/>
        <v>0</v>
      </c>
      <c r="AB136">
        <f t="shared" si="138"/>
        <v>0</v>
      </c>
      <c r="AC136">
        <f t="shared" si="139"/>
        <v>0</v>
      </c>
      <c r="AD136">
        <f t="shared" si="140"/>
        <v>129.5</v>
      </c>
      <c r="AE136">
        <f t="shared" si="141"/>
        <v>207</v>
      </c>
      <c r="AF136">
        <f t="shared" si="142"/>
        <v>24</v>
      </c>
      <c r="AG136">
        <f t="shared" si="143"/>
        <v>-45.5</v>
      </c>
      <c r="AH136">
        <f t="shared" si="144"/>
        <v>-8</v>
      </c>
      <c r="AI136">
        <f t="shared" si="145"/>
        <v>0</v>
      </c>
      <c r="AJ136">
        <f t="shared" si="146"/>
        <v>0</v>
      </c>
      <c r="AK136">
        <f t="shared" si="147"/>
        <v>-2</v>
      </c>
      <c r="AL136">
        <f t="shared" si="148"/>
        <v>8</v>
      </c>
      <c r="AM136">
        <f t="shared" si="149"/>
        <v>313</v>
      </c>
      <c r="AN136">
        <f t="shared" si="150"/>
        <v>432</v>
      </c>
      <c r="AO136" s="1">
        <f t="shared" si="151"/>
        <v>0.72453703703703709</v>
      </c>
    </row>
    <row r="137" spans="1:41" x14ac:dyDescent="0.25">
      <c r="A137" t="s">
        <v>1</v>
      </c>
      <c r="B137">
        <v>5</v>
      </c>
      <c r="C137">
        <v>217</v>
      </c>
      <c r="D137">
        <v>70</v>
      </c>
      <c r="E137">
        <v>1</v>
      </c>
      <c r="F137">
        <v>66</v>
      </c>
      <c r="G137">
        <v>6</v>
      </c>
      <c r="H137">
        <v>0</v>
      </c>
      <c r="I137">
        <v>0</v>
      </c>
      <c r="J137">
        <v>0</v>
      </c>
      <c r="K137">
        <v>126</v>
      </c>
      <c r="L137">
        <v>17</v>
      </c>
      <c r="M137">
        <v>0</v>
      </c>
      <c r="N137" t="s">
        <v>6</v>
      </c>
      <c r="O137">
        <v>13</v>
      </c>
      <c r="P137">
        <v>13</v>
      </c>
      <c r="Q137">
        <v>24</v>
      </c>
      <c r="R137">
        <v>29</v>
      </c>
      <c r="S137">
        <v>47</v>
      </c>
      <c r="T137" t="s">
        <v>39</v>
      </c>
      <c r="U137">
        <v>361</v>
      </c>
      <c r="V137">
        <v>6</v>
      </c>
      <c r="W137">
        <f t="shared" si="133"/>
        <v>-53.5</v>
      </c>
      <c r="X137">
        <f t="shared" si="134"/>
        <v>6</v>
      </c>
      <c r="Y137">
        <f t="shared" si="135"/>
        <v>6</v>
      </c>
      <c r="Z137">
        <f t="shared" si="136"/>
        <v>4</v>
      </c>
      <c r="AA137">
        <f t="shared" si="137"/>
        <v>3</v>
      </c>
      <c r="AB137">
        <f t="shared" si="138"/>
        <v>1</v>
      </c>
      <c r="AC137">
        <f t="shared" si="139"/>
        <v>0</v>
      </c>
      <c r="AD137">
        <f t="shared" si="140"/>
        <v>108.5</v>
      </c>
      <c r="AE137">
        <f t="shared" si="141"/>
        <v>210</v>
      </c>
      <c r="AF137">
        <f t="shared" si="142"/>
        <v>8</v>
      </c>
      <c r="AG137">
        <f t="shared" si="143"/>
        <v>-33</v>
      </c>
      <c r="AH137">
        <f t="shared" si="144"/>
        <v>-6</v>
      </c>
      <c r="AI137">
        <f t="shared" si="145"/>
        <v>0</v>
      </c>
      <c r="AJ137">
        <f t="shared" si="146"/>
        <v>0</v>
      </c>
      <c r="AK137">
        <f t="shared" si="147"/>
        <v>0</v>
      </c>
      <c r="AL137">
        <f t="shared" si="148"/>
        <v>20</v>
      </c>
      <c r="AM137">
        <f t="shared" si="149"/>
        <v>307.5</v>
      </c>
      <c r="AN137">
        <f t="shared" si="150"/>
        <v>360</v>
      </c>
      <c r="AO137" s="1">
        <f t="shared" si="151"/>
        <v>0.85416666666666663</v>
      </c>
    </row>
    <row r="138" spans="1:41" x14ac:dyDescent="0.25">
      <c r="A138" t="s">
        <v>3</v>
      </c>
      <c r="B138">
        <v>6</v>
      </c>
      <c r="C138">
        <v>246</v>
      </c>
      <c r="D138">
        <v>101</v>
      </c>
      <c r="E138">
        <v>1</v>
      </c>
      <c r="F138">
        <v>43</v>
      </c>
      <c r="G138">
        <v>5</v>
      </c>
      <c r="H138">
        <v>0</v>
      </c>
      <c r="I138">
        <v>0</v>
      </c>
      <c r="J138">
        <v>0</v>
      </c>
      <c r="K138">
        <v>209</v>
      </c>
      <c r="L138">
        <v>18</v>
      </c>
      <c r="M138">
        <v>1</v>
      </c>
      <c r="N138" t="s">
        <v>4</v>
      </c>
      <c r="O138">
        <v>1</v>
      </c>
      <c r="P138">
        <v>18</v>
      </c>
      <c r="Q138">
        <v>26</v>
      </c>
      <c r="R138">
        <v>43</v>
      </c>
      <c r="S138">
        <v>43</v>
      </c>
      <c r="T138">
        <v>78</v>
      </c>
      <c r="U138">
        <v>360.5</v>
      </c>
      <c r="V138">
        <v>5</v>
      </c>
      <c r="W138">
        <f t="shared" ref="W138:W145" si="152">AM138-U138</f>
        <v>107</v>
      </c>
      <c r="X138">
        <f t="shared" ref="X138:X145" si="153">IF(O138=1,50,IF(O138=2,25,IF(O138=3,18,IF(O138=4,16,IF(O138=5,14,IF(O138=6,12,IF(O138=7,10,IF(O138=8,9,IF(O138=10,7,IF(O138&lt;=15,6,IF(O138&lt;=20,5,IF(O138&lt;=25,4,IF(O138&lt;=30,3,IF(O138&lt;=40,2,IF(O138&lt;=50,1,IF(O138&gt;50,0))))))))))))))))</f>
        <v>50</v>
      </c>
      <c r="Y138">
        <f t="shared" ref="Y138:Y145" si="154">IF(P138=1,50,IF(P138=2,25,IF(P138=3,18,IF(P138=4,16,IF(P138=5,14,IF(P138=6,12,IF(P138=7,10,IF(P138=8,9,IF(P138=10,7,IF(P138&lt;=15,6,IF(P138&lt;=20,5,IF(P138&lt;=25,4,IF(P138&lt;=30,3,IF(P138&lt;=40,2,IF(P138&lt;=50,1,IF(P138&gt;50,0))))))))))))))))</f>
        <v>5</v>
      </c>
      <c r="Z138">
        <f t="shared" ref="Z138:Z145" si="155">IF(Q138=1,50,IF(Q138=2,25,IF(Q138=3,18,IF(Q138=4,16,IF(Q138=5,14,IF(Q138=6,12,IF(Q138=7,10,IF(Q138=8,9,IF(Q138=10,7,IF(Q138&lt;=15,6,IF(Q138&lt;=20,5,IF(Q138&lt;=25,4,IF(Q138&lt;=30,3,IF(Q138&lt;=40,2,IF(Q138&lt;=50,1,IF(Q138&gt;50,0))))))))))))))))</f>
        <v>3</v>
      </c>
      <c r="AA138">
        <f t="shared" ref="AA138:AA145" si="156">IF(R138=1,50,IF(R138=2,25,IF(R138=3,18,IF(R138=4,16,IF(R138=5,14,IF(R138=6,12,IF(R138=7,10,IF(R138=8,9,IF(R138=10,7,IF(R138&lt;=15,6,IF(R138&lt;=20,5,IF(R138&lt;=25,4,IF(R138&lt;=30,3,IF(R138&lt;=40,2,IF(R138&lt;=50,1,IF(R138&gt;50,0))))))))))))))))</f>
        <v>1</v>
      </c>
      <c r="AB138">
        <f t="shared" ref="AB138:AB145" si="157">IF(S138=1,50,IF(S138=2,25,IF(S138=3,18,IF(S138=4,16,IF(S138=5,14,IF(S138=6,12,IF(S138=7,10,IF(S138=8,9,IF(S138=10,7,IF(S138&lt;=15,6,IF(S138&lt;=20,5,IF(S138&lt;=25,4,IF(S138&lt;=30,3,IF(S138&lt;=40,2,IF(S138&lt;=50,1,IF(S138&gt;50,0))))))))))))))))</f>
        <v>1</v>
      </c>
      <c r="AC138">
        <f t="shared" ref="AC138:AC145" si="158">IF(T138=1,50,IF(T138=2,25,IF(T138=3,18,IF(T138=4,16,IF(T138=5,14,IF(T138=6,12,IF(T138=7,10,IF(T138=8,9,IF(T138=10,7,IF(T138&lt;=15,6,IF(T138&lt;=20,5,IF(T138&lt;=25,4,IF(T138&lt;=30,3,IF(T138&lt;=40,2,IF(T138&lt;=50,1,IF(T138&gt;50,0))))))))))))))))</f>
        <v>0</v>
      </c>
      <c r="AD138">
        <f t="shared" ref="AD138:AD145" si="159">C138*0.5</f>
        <v>123</v>
      </c>
      <c r="AE138">
        <f t="shared" ref="AE138:AE145" si="160">D138*3</f>
        <v>303</v>
      </c>
      <c r="AF138">
        <f t="shared" ref="AF138:AF145" si="161">E138*8</f>
        <v>8</v>
      </c>
      <c r="AG138">
        <f t="shared" ref="AG138:AG145" si="162">-1*(F138/2)</f>
        <v>-21.5</v>
      </c>
      <c r="AH138">
        <f t="shared" ref="AH138:AH145" si="163">G138*-1</f>
        <v>-5</v>
      </c>
      <c r="AI138">
        <f t="shared" ref="AI138:AI145" si="164">H138*13</f>
        <v>0</v>
      </c>
      <c r="AJ138">
        <f t="shared" ref="AJ138:AJ145" si="165">I138*5</f>
        <v>0</v>
      </c>
      <c r="AK138">
        <f t="shared" ref="AK138:AK145" si="166">J138*-1</f>
        <v>0</v>
      </c>
      <c r="AL138">
        <f t="shared" ref="AL138:AL145" si="167">SUM(X138:AC138)</f>
        <v>60</v>
      </c>
      <c r="AM138">
        <f t="shared" ref="AM138:AM145" si="168">SUM(AD138:AL138)</f>
        <v>467.5</v>
      </c>
      <c r="AN138">
        <f t="shared" ref="AN138:AN145" si="169">SUM(C138:G138,J138)</f>
        <v>396</v>
      </c>
      <c r="AO138" s="1">
        <f t="shared" ref="AO138:AO145" si="170">AM138/AN138</f>
        <v>1.1805555555555556</v>
      </c>
    </row>
    <row r="139" spans="1:41" x14ac:dyDescent="0.25">
      <c r="A139" t="s">
        <v>4</v>
      </c>
      <c r="B139">
        <v>6</v>
      </c>
      <c r="C139">
        <v>254</v>
      </c>
      <c r="D139">
        <v>94</v>
      </c>
      <c r="E139">
        <v>4</v>
      </c>
      <c r="F139">
        <v>40</v>
      </c>
      <c r="G139">
        <v>4</v>
      </c>
      <c r="H139">
        <v>0</v>
      </c>
      <c r="I139">
        <v>0</v>
      </c>
      <c r="J139">
        <v>0</v>
      </c>
      <c r="K139">
        <v>213</v>
      </c>
      <c r="L139">
        <v>18</v>
      </c>
      <c r="M139">
        <v>0</v>
      </c>
      <c r="N139" t="s">
        <v>387</v>
      </c>
      <c r="O139">
        <v>2</v>
      </c>
      <c r="P139">
        <v>4</v>
      </c>
      <c r="Q139">
        <v>18</v>
      </c>
      <c r="R139">
        <v>43</v>
      </c>
      <c r="S139">
        <v>68</v>
      </c>
      <c r="T139">
        <v>78</v>
      </c>
      <c r="U139">
        <v>360.5</v>
      </c>
      <c r="V139">
        <v>5</v>
      </c>
      <c r="W139">
        <f t="shared" si="152"/>
        <v>103.5</v>
      </c>
      <c r="X139">
        <f t="shared" si="153"/>
        <v>25</v>
      </c>
      <c r="Y139">
        <f t="shared" si="154"/>
        <v>16</v>
      </c>
      <c r="Z139">
        <f t="shared" si="155"/>
        <v>5</v>
      </c>
      <c r="AA139">
        <f t="shared" si="156"/>
        <v>1</v>
      </c>
      <c r="AB139">
        <f t="shared" si="157"/>
        <v>0</v>
      </c>
      <c r="AC139">
        <f t="shared" si="158"/>
        <v>0</v>
      </c>
      <c r="AD139">
        <f t="shared" si="159"/>
        <v>127</v>
      </c>
      <c r="AE139">
        <f t="shared" si="160"/>
        <v>282</v>
      </c>
      <c r="AF139">
        <f t="shared" si="161"/>
        <v>32</v>
      </c>
      <c r="AG139">
        <f t="shared" si="162"/>
        <v>-20</v>
      </c>
      <c r="AH139">
        <f t="shared" si="163"/>
        <v>-4</v>
      </c>
      <c r="AI139">
        <f t="shared" si="164"/>
        <v>0</v>
      </c>
      <c r="AJ139">
        <f t="shared" si="165"/>
        <v>0</v>
      </c>
      <c r="AK139">
        <f t="shared" si="166"/>
        <v>0</v>
      </c>
      <c r="AL139">
        <f t="shared" si="167"/>
        <v>47</v>
      </c>
      <c r="AM139">
        <f t="shared" si="168"/>
        <v>464</v>
      </c>
      <c r="AN139">
        <f t="shared" si="169"/>
        <v>396</v>
      </c>
      <c r="AO139" s="1">
        <f t="shared" si="170"/>
        <v>1.1717171717171717</v>
      </c>
    </row>
    <row r="140" spans="1:41" x14ac:dyDescent="0.25">
      <c r="A140" t="s">
        <v>1</v>
      </c>
      <c r="B140">
        <v>6</v>
      </c>
      <c r="C140">
        <v>252</v>
      </c>
      <c r="D140">
        <v>89</v>
      </c>
      <c r="E140">
        <v>3</v>
      </c>
      <c r="F140">
        <v>47</v>
      </c>
      <c r="G140">
        <v>5</v>
      </c>
      <c r="H140">
        <v>0</v>
      </c>
      <c r="I140">
        <v>0</v>
      </c>
      <c r="J140">
        <v>0</v>
      </c>
      <c r="K140">
        <v>257</v>
      </c>
      <c r="L140">
        <v>18</v>
      </c>
      <c r="M140">
        <v>1</v>
      </c>
      <c r="N140" t="s">
        <v>0</v>
      </c>
      <c r="O140">
        <v>26</v>
      </c>
      <c r="P140">
        <v>26</v>
      </c>
      <c r="Q140">
        <v>35</v>
      </c>
      <c r="R140">
        <v>39</v>
      </c>
      <c r="S140">
        <v>53</v>
      </c>
      <c r="T140">
        <v>78</v>
      </c>
      <c r="U140">
        <v>360.5</v>
      </c>
      <c r="V140">
        <v>5</v>
      </c>
      <c r="W140">
        <f t="shared" si="152"/>
        <v>38</v>
      </c>
      <c r="X140">
        <f t="shared" si="153"/>
        <v>3</v>
      </c>
      <c r="Y140">
        <f t="shared" si="154"/>
        <v>3</v>
      </c>
      <c r="Z140">
        <f t="shared" si="155"/>
        <v>2</v>
      </c>
      <c r="AA140">
        <f t="shared" si="156"/>
        <v>2</v>
      </c>
      <c r="AB140">
        <f t="shared" si="157"/>
        <v>0</v>
      </c>
      <c r="AC140">
        <f t="shared" si="158"/>
        <v>0</v>
      </c>
      <c r="AD140">
        <f t="shared" si="159"/>
        <v>126</v>
      </c>
      <c r="AE140">
        <f t="shared" si="160"/>
        <v>267</v>
      </c>
      <c r="AF140">
        <f t="shared" si="161"/>
        <v>24</v>
      </c>
      <c r="AG140">
        <f t="shared" si="162"/>
        <v>-23.5</v>
      </c>
      <c r="AH140">
        <f t="shared" si="163"/>
        <v>-5</v>
      </c>
      <c r="AI140">
        <f t="shared" si="164"/>
        <v>0</v>
      </c>
      <c r="AJ140">
        <f t="shared" si="165"/>
        <v>0</v>
      </c>
      <c r="AK140">
        <f t="shared" si="166"/>
        <v>0</v>
      </c>
      <c r="AL140">
        <f t="shared" si="167"/>
        <v>10</v>
      </c>
      <c r="AM140">
        <f t="shared" si="168"/>
        <v>398.5</v>
      </c>
      <c r="AN140">
        <f t="shared" si="169"/>
        <v>396</v>
      </c>
      <c r="AO140" s="1">
        <f t="shared" si="170"/>
        <v>1.0063131313131313</v>
      </c>
    </row>
    <row r="141" spans="1:41" x14ac:dyDescent="0.25">
      <c r="A141" t="s">
        <v>0</v>
      </c>
      <c r="B141">
        <v>6</v>
      </c>
      <c r="C141">
        <v>219</v>
      </c>
      <c r="D141">
        <v>90</v>
      </c>
      <c r="E141">
        <v>2</v>
      </c>
      <c r="F141">
        <v>44</v>
      </c>
      <c r="G141">
        <v>5</v>
      </c>
      <c r="H141">
        <v>0</v>
      </c>
      <c r="I141">
        <v>0</v>
      </c>
      <c r="J141">
        <v>0</v>
      </c>
      <c r="K141">
        <v>245</v>
      </c>
      <c r="L141">
        <v>18</v>
      </c>
      <c r="M141">
        <v>0</v>
      </c>
      <c r="N141" t="s">
        <v>1</v>
      </c>
      <c r="O141">
        <v>8</v>
      </c>
      <c r="P141">
        <v>12</v>
      </c>
      <c r="Q141">
        <v>26</v>
      </c>
      <c r="R141">
        <v>43</v>
      </c>
      <c r="S141">
        <v>78</v>
      </c>
      <c r="T141">
        <v>78</v>
      </c>
      <c r="U141">
        <v>360.5</v>
      </c>
      <c r="V141">
        <v>4</v>
      </c>
      <c r="W141">
        <f t="shared" si="152"/>
        <v>27</v>
      </c>
      <c r="X141">
        <f t="shared" si="153"/>
        <v>9</v>
      </c>
      <c r="Y141">
        <f t="shared" si="154"/>
        <v>6</v>
      </c>
      <c r="Z141">
        <f t="shared" si="155"/>
        <v>3</v>
      </c>
      <c r="AA141">
        <f t="shared" si="156"/>
        <v>1</v>
      </c>
      <c r="AB141">
        <f t="shared" si="157"/>
        <v>0</v>
      </c>
      <c r="AC141">
        <f t="shared" si="158"/>
        <v>0</v>
      </c>
      <c r="AD141">
        <f t="shared" si="159"/>
        <v>109.5</v>
      </c>
      <c r="AE141">
        <f t="shared" si="160"/>
        <v>270</v>
      </c>
      <c r="AF141">
        <f t="shared" si="161"/>
        <v>16</v>
      </c>
      <c r="AG141">
        <f t="shared" si="162"/>
        <v>-22</v>
      </c>
      <c r="AH141">
        <f t="shared" si="163"/>
        <v>-5</v>
      </c>
      <c r="AI141">
        <f t="shared" si="164"/>
        <v>0</v>
      </c>
      <c r="AJ141">
        <f t="shared" si="165"/>
        <v>0</v>
      </c>
      <c r="AK141">
        <f t="shared" si="166"/>
        <v>0</v>
      </c>
      <c r="AL141">
        <f t="shared" si="167"/>
        <v>19</v>
      </c>
      <c r="AM141">
        <f t="shared" si="168"/>
        <v>387.5</v>
      </c>
      <c r="AN141">
        <f t="shared" si="169"/>
        <v>360</v>
      </c>
      <c r="AO141" s="1">
        <f t="shared" si="170"/>
        <v>1.0763888888888888</v>
      </c>
    </row>
    <row r="142" spans="1:41" x14ac:dyDescent="0.25">
      <c r="A142" t="s">
        <v>5</v>
      </c>
      <c r="B142">
        <v>6</v>
      </c>
      <c r="C142">
        <v>217</v>
      </c>
      <c r="D142">
        <v>79</v>
      </c>
      <c r="E142">
        <v>2</v>
      </c>
      <c r="F142">
        <v>57</v>
      </c>
      <c r="G142">
        <v>5</v>
      </c>
      <c r="H142">
        <v>0</v>
      </c>
      <c r="I142">
        <v>0</v>
      </c>
      <c r="J142">
        <v>0</v>
      </c>
      <c r="K142">
        <v>340</v>
      </c>
      <c r="L142">
        <v>18</v>
      </c>
      <c r="M142">
        <v>1</v>
      </c>
      <c r="N142" t="s">
        <v>2</v>
      </c>
      <c r="O142">
        <v>23</v>
      </c>
      <c r="P142">
        <v>35</v>
      </c>
      <c r="Q142">
        <v>63</v>
      </c>
      <c r="R142">
        <v>63</v>
      </c>
      <c r="S142">
        <v>78</v>
      </c>
      <c r="T142">
        <v>78</v>
      </c>
      <c r="U142">
        <v>360.5</v>
      </c>
      <c r="V142">
        <v>4</v>
      </c>
      <c r="W142">
        <f t="shared" si="152"/>
        <v>-26.5</v>
      </c>
      <c r="X142">
        <f t="shared" si="153"/>
        <v>4</v>
      </c>
      <c r="Y142">
        <f t="shared" si="154"/>
        <v>2</v>
      </c>
      <c r="Z142">
        <f t="shared" si="155"/>
        <v>0</v>
      </c>
      <c r="AA142">
        <f t="shared" si="156"/>
        <v>0</v>
      </c>
      <c r="AB142">
        <f t="shared" si="157"/>
        <v>0</v>
      </c>
      <c r="AC142">
        <f t="shared" si="158"/>
        <v>0</v>
      </c>
      <c r="AD142">
        <f t="shared" si="159"/>
        <v>108.5</v>
      </c>
      <c r="AE142">
        <f t="shared" si="160"/>
        <v>237</v>
      </c>
      <c r="AF142">
        <f t="shared" si="161"/>
        <v>16</v>
      </c>
      <c r="AG142">
        <f t="shared" si="162"/>
        <v>-28.5</v>
      </c>
      <c r="AH142">
        <f t="shared" si="163"/>
        <v>-5</v>
      </c>
      <c r="AI142">
        <f t="shared" si="164"/>
        <v>0</v>
      </c>
      <c r="AJ142">
        <f t="shared" si="165"/>
        <v>0</v>
      </c>
      <c r="AK142">
        <f t="shared" si="166"/>
        <v>0</v>
      </c>
      <c r="AL142">
        <f t="shared" si="167"/>
        <v>6</v>
      </c>
      <c r="AM142">
        <f t="shared" si="168"/>
        <v>334</v>
      </c>
      <c r="AN142">
        <f t="shared" si="169"/>
        <v>360</v>
      </c>
      <c r="AO142" s="1">
        <f t="shared" si="170"/>
        <v>0.92777777777777781</v>
      </c>
    </row>
    <row r="143" spans="1:41" x14ac:dyDescent="0.25">
      <c r="A143" t="s">
        <v>7</v>
      </c>
      <c r="B143">
        <v>6</v>
      </c>
      <c r="C143">
        <v>203</v>
      </c>
      <c r="D143">
        <v>72</v>
      </c>
      <c r="E143">
        <v>1</v>
      </c>
      <c r="F143">
        <v>41</v>
      </c>
      <c r="G143">
        <v>7</v>
      </c>
      <c r="H143">
        <v>0</v>
      </c>
      <c r="I143">
        <v>0</v>
      </c>
      <c r="J143">
        <v>0</v>
      </c>
      <c r="K143">
        <v>307</v>
      </c>
      <c r="L143">
        <v>18</v>
      </c>
      <c r="M143">
        <v>1</v>
      </c>
      <c r="N143" t="s">
        <v>6</v>
      </c>
      <c r="O143">
        <v>12</v>
      </c>
      <c r="P143">
        <v>18</v>
      </c>
      <c r="Q143">
        <v>43</v>
      </c>
      <c r="R143">
        <v>78</v>
      </c>
      <c r="S143">
        <v>78</v>
      </c>
      <c r="T143">
        <v>78</v>
      </c>
      <c r="U143">
        <v>360.5</v>
      </c>
      <c r="V143">
        <v>3</v>
      </c>
      <c r="W143">
        <f t="shared" si="152"/>
        <v>-50.5</v>
      </c>
      <c r="X143">
        <f t="shared" si="153"/>
        <v>6</v>
      </c>
      <c r="Y143">
        <f t="shared" si="154"/>
        <v>5</v>
      </c>
      <c r="Z143">
        <f t="shared" si="155"/>
        <v>1</v>
      </c>
      <c r="AA143">
        <f t="shared" si="156"/>
        <v>0</v>
      </c>
      <c r="AB143">
        <f t="shared" si="157"/>
        <v>0</v>
      </c>
      <c r="AC143">
        <f t="shared" si="158"/>
        <v>0</v>
      </c>
      <c r="AD143">
        <f t="shared" si="159"/>
        <v>101.5</v>
      </c>
      <c r="AE143">
        <f t="shared" si="160"/>
        <v>216</v>
      </c>
      <c r="AF143">
        <f t="shared" si="161"/>
        <v>8</v>
      </c>
      <c r="AG143">
        <f t="shared" si="162"/>
        <v>-20.5</v>
      </c>
      <c r="AH143">
        <f t="shared" si="163"/>
        <v>-7</v>
      </c>
      <c r="AI143">
        <f t="shared" si="164"/>
        <v>0</v>
      </c>
      <c r="AJ143">
        <f t="shared" si="165"/>
        <v>0</v>
      </c>
      <c r="AK143">
        <f t="shared" si="166"/>
        <v>0</v>
      </c>
      <c r="AL143">
        <f t="shared" si="167"/>
        <v>12</v>
      </c>
      <c r="AM143">
        <f t="shared" si="168"/>
        <v>310</v>
      </c>
      <c r="AN143">
        <f t="shared" si="169"/>
        <v>324</v>
      </c>
      <c r="AO143" s="1">
        <f t="shared" si="170"/>
        <v>0.95679012345679015</v>
      </c>
    </row>
    <row r="144" spans="1:41" x14ac:dyDescent="0.25">
      <c r="A144" t="s">
        <v>6</v>
      </c>
      <c r="B144">
        <v>6</v>
      </c>
      <c r="C144">
        <v>178</v>
      </c>
      <c r="D144">
        <v>61</v>
      </c>
      <c r="E144">
        <v>1</v>
      </c>
      <c r="F144">
        <v>42</v>
      </c>
      <c r="G144">
        <v>5</v>
      </c>
      <c r="H144">
        <v>0</v>
      </c>
      <c r="I144">
        <v>0</v>
      </c>
      <c r="J144">
        <v>1</v>
      </c>
      <c r="K144">
        <v>383</v>
      </c>
      <c r="L144">
        <v>18</v>
      </c>
      <c r="M144">
        <v>0</v>
      </c>
      <c r="N144" t="s">
        <v>7</v>
      </c>
      <c r="O144">
        <v>8</v>
      </c>
      <c r="P144">
        <v>63</v>
      </c>
      <c r="Q144">
        <v>78</v>
      </c>
      <c r="R144">
        <v>78</v>
      </c>
      <c r="S144">
        <v>78</v>
      </c>
      <c r="T144">
        <v>78</v>
      </c>
      <c r="U144">
        <v>360.5</v>
      </c>
      <c r="V144">
        <v>2</v>
      </c>
      <c r="W144">
        <f t="shared" si="152"/>
        <v>-98.5</v>
      </c>
      <c r="X144">
        <f t="shared" si="153"/>
        <v>9</v>
      </c>
      <c r="Y144">
        <f t="shared" si="154"/>
        <v>0</v>
      </c>
      <c r="Z144">
        <f t="shared" si="155"/>
        <v>0</v>
      </c>
      <c r="AA144">
        <f t="shared" si="156"/>
        <v>0</v>
      </c>
      <c r="AB144">
        <f t="shared" si="157"/>
        <v>0</v>
      </c>
      <c r="AC144">
        <f t="shared" si="158"/>
        <v>0</v>
      </c>
      <c r="AD144">
        <f t="shared" si="159"/>
        <v>89</v>
      </c>
      <c r="AE144">
        <f t="shared" si="160"/>
        <v>183</v>
      </c>
      <c r="AF144">
        <f t="shared" si="161"/>
        <v>8</v>
      </c>
      <c r="AG144">
        <f t="shared" si="162"/>
        <v>-21</v>
      </c>
      <c r="AH144">
        <f t="shared" si="163"/>
        <v>-5</v>
      </c>
      <c r="AI144">
        <f t="shared" si="164"/>
        <v>0</v>
      </c>
      <c r="AJ144">
        <f t="shared" si="165"/>
        <v>0</v>
      </c>
      <c r="AK144">
        <f t="shared" si="166"/>
        <v>-1</v>
      </c>
      <c r="AL144">
        <f t="shared" si="167"/>
        <v>9</v>
      </c>
      <c r="AM144">
        <f t="shared" si="168"/>
        <v>262</v>
      </c>
      <c r="AN144">
        <f t="shared" si="169"/>
        <v>288</v>
      </c>
      <c r="AO144" s="1">
        <f t="shared" si="170"/>
        <v>0.90972222222222221</v>
      </c>
    </row>
    <row r="145" spans="1:41" x14ac:dyDescent="0.25">
      <c r="A145" t="s">
        <v>2</v>
      </c>
      <c r="B145">
        <v>5</v>
      </c>
      <c r="C145">
        <v>166</v>
      </c>
      <c r="D145">
        <v>62</v>
      </c>
      <c r="E145">
        <v>1</v>
      </c>
      <c r="F145">
        <v>51</v>
      </c>
      <c r="G145">
        <v>7</v>
      </c>
      <c r="H145">
        <v>0</v>
      </c>
      <c r="I145">
        <v>0</v>
      </c>
      <c r="J145">
        <v>1</v>
      </c>
      <c r="K145">
        <v>298</v>
      </c>
      <c r="L145">
        <v>18</v>
      </c>
      <c r="M145">
        <v>0</v>
      </c>
      <c r="N145" t="s">
        <v>5</v>
      </c>
      <c r="O145">
        <v>23</v>
      </c>
      <c r="P145">
        <v>43</v>
      </c>
      <c r="Q145">
        <v>76</v>
      </c>
      <c r="R145">
        <v>78</v>
      </c>
      <c r="S145">
        <v>78</v>
      </c>
      <c r="T145" t="s">
        <v>39</v>
      </c>
      <c r="U145">
        <v>360.5</v>
      </c>
      <c r="V145">
        <v>3</v>
      </c>
      <c r="W145">
        <f t="shared" si="152"/>
        <v>-112</v>
      </c>
      <c r="X145">
        <f t="shared" si="153"/>
        <v>4</v>
      </c>
      <c r="Y145">
        <f t="shared" si="154"/>
        <v>1</v>
      </c>
      <c r="Z145">
        <f t="shared" si="155"/>
        <v>0</v>
      </c>
      <c r="AA145">
        <f t="shared" si="156"/>
        <v>0</v>
      </c>
      <c r="AB145">
        <f t="shared" si="157"/>
        <v>0</v>
      </c>
      <c r="AC145">
        <f t="shared" si="158"/>
        <v>0</v>
      </c>
      <c r="AD145">
        <f t="shared" si="159"/>
        <v>83</v>
      </c>
      <c r="AE145">
        <f t="shared" si="160"/>
        <v>186</v>
      </c>
      <c r="AF145">
        <f t="shared" si="161"/>
        <v>8</v>
      </c>
      <c r="AG145">
        <f t="shared" si="162"/>
        <v>-25.5</v>
      </c>
      <c r="AH145">
        <f t="shared" si="163"/>
        <v>-7</v>
      </c>
      <c r="AI145">
        <f t="shared" si="164"/>
        <v>0</v>
      </c>
      <c r="AJ145">
        <f t="shared" si="165"/>
        <v>0</v>
      </c>
      <c r="AK145">
        <f t="shared" si="166"/>
        <v>-1</v>
      </c>
      <c r="AL145">
        <f t="shared" si="167"/>
        <v>5</v>
      </c>
      <c r="AM145">
        <f t="shared" si="168"/>
        <v>248.5</v>
      </c>
      <c r="AN145">
        <f t="shared" si="169"/>
        <v>288</v>
      </c>
      <c r="AO145" s="1">
        <f t="shared" si="170"/>
        <v>0.86284722222222221</v>
      </c>
    </row>
  </sheetData>
  <autoFilter ref="A1:AO121" xr:uid="{DA9B9521-756F-4245-AEE5-27FF068884DA}"/>
  <sortState xmlns:xlrd2="http://schemas.microsoft.com/office/spreadsheetml/2017/richdata2" ref="A2:AO105">
    <sortCondition ref="L53:L10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4CC28-F2F8-4E9B-AEFD-962365C51F8C}">
  <dimension ref="A1:AA166"/>
  <sheetViews>
    <sheetView topLeftCell="B1" workbookViewId="0">
      <pane ySplit="1" topLeftCell="A2" activePane="bottomLeft" state="frozen"/>
      <selection activeCell="C1" sqref="C1"/>
      <selection pane="bottomLeft" activeCell="D125" sqref="D125"/>
    </sheetView>
  </sheetViews>
  <sheetFormatPr defaultRowHeight="15" x14ac:dyDescent="0.25"/>
  <cols>
    <col min="3" max="3" width="17.7109375" bestFit="1" customWidth="1"/>
    <col min="4" max="4" width="13.42578125" bestFit="1" customWidth="1"/>
    <col min="7" max="7" width="14" bestFit="1" customWidth="1"/>
    <col min="8" max="8" width="21.28515625" customWidth="1"/>
    <col min="9" max="9" width="6.7109375" customWidth="1"/>
  </cols>
  <sheetData>
    <row r="1" spans="1:27" x14ac:dyDescent="0.25">
      <c r="A1" t="s">
        <v>52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67</v>
      </c>
      <c r="Q1" t="s">
        <v>68</v>
      </c>
      <c r="R1" t="s">
        <v>69</v>
      </c>
      <c r="S1" t="s">
        <v>70</v>
      </c>
      <c r="T1" t="s">
        <v>71</v>
      </c>
      <c r="U1" t="s">
        <v>72</v>
      </c>
      <c r="V1" t="s">
        <v>73</v>
      </c>
      <c r="W1" t="s">
        <v>74</v>
      </c>
      <c r="X1" t="s">
        <v>75</v>
      </c>
      <c r="Y1" t="s">
        <v>76</v>
      </c>
      <c r="Z1" t="s">
        <v>77</v>
      </c>
      <c r="AA1" t="s">
        <v>378</v>
      </c>
    </row>
    <row r="2" spans="1:27" x14ac:dyDescent="0.25">
      <c r="A2" t="s">
        <v>106</v>
      </c>
      <c r="B2" t="s">
        <v>79</v>
      </c>
      <c r="C2" t="s">
        <v>107</v>
      </c>
      <c r="D2" t="s">
        <v>1</v>
      </c>
      <c r="E2">
        <v>16</v>
      </c>
      <c r="F2" t="s">
        <v>103</v>
      </c>
      <c r="G2">
        <v>79.5</v>
      </c>
      <c r="H2">
        <v>39.75</v>
      </c>
      <c r="I2">
        <v>2</v>
      </c>
      <c r="J2">
        <v>1</v>
      </c>
      <c r="K2">
        <v>1</v>
      </c>
      <c r="L2">
        <v>66</v>
      </c>
      <c r="M2">
        <v>19</v>
      </c>
      <c r="N2">
        <v>0</v>
      </c>
      <c r="O2">
        <v>23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58</v>
      </c>
      <c r="Y2">
        <v>71.67</v>
      </c>
      <c r="Z2">
        <v>13</v>
      </c>
      <c r="AA2">
        <v>3</v>
      </c>
    </row>
    <row r="3" spans="1:27" x14ac:dyDescent="0.25">
      <c r="A3" t="s">
        <v>110</v>
      </c>
      <c r="B3" t="s">
        <v>79</v>
      </c>
      <c r="C3" t="s">
        <v>111</v>
      </c>
      <c r="D3" t="s">
        <v>1</v>
      </c>
      <c r="E3">
        <v>12</v>
      </c>
      <c r="F3" t="s">
        <v>103</v>
      </c>
      <c r="G3">
        <v>64.5</v>
      </c>
      <c r="H3">
        <v>64.5</v>
      </c>
      <c r="I3">
        <v>1</v>
      </c>
      <c r="J3">
        <v>0</v>
      </c>
      <c r="K3">
        <v>1</v>
      </c>
      <c r="L3">
        <v>33</v>
      </c>
      <c r="M3">
        <v>17</v>
      </c>
      <c r="N3">
        <v>0</v>
      </c>
      <c r="O3">
        <v>2</v>
      </c>
      <c r="P3">
        <v>2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68</v>
      </c>
      <c r="Y3">
        <v>68.33</v>
      </c>
      <c r="Z3">
        <v>0</v>
      </c>
      <c r="AA3">
        <v>3</v>
      </c>
    </row>
    <row r="4" spans="1:27" x14ac:dyDescent="0.25">
      <c r="A4" t="s">
        <v>82</v>
      </c>
      <c r="B4" t="s">
        <v>79</v>
      </c>
      <c r="C4" t="s">
        <v>83</v>
      </c>
      <c r="D4" t="s">
        <v>1</v>
      </c>
      <c r="E4">
        <v>7</v>
      </c>
      <c r="F4" t="s">
        <v>92</v>
      </c>
      <c r="G4">
        <v>642.5</v>
      </c>
      <c r="H4">
        <v>71.39</v>
      </c>
      <c r="I4">
        <v>9</v>
      </c>
      <c r="J4">
        <v>8</v>
      </c>
      <c r="K4">
        <v>1</v>
      </c>
      <c r="L4">
        <v>376</v>
      </c>
      <c r="M4">
        <v>141</v>
      </c>
      <c r="N4">
        <v>4</v>
      </c>
      <c r="O4">
        <v>101</v>
      </c>
      <c r="P4">
        <v>6</v>
      </c>
      <c r="Q4">
        <v>1</v>
      </c>
      <c r="R4">
        <v>2</v>
      </c>
      <c r="S4">
        <v>4</v>
      </c>
      <c r="T4">
        <v>2</v>
      </c>
      <c r="U4">
        <v>2</v>
      </c>
      <c r="V4">
        <v>1</v>
      </c>
      <c r="W4">
        <v>0</v>
      </c>
      <c r="X4">
        <v>37</v>
      </c>
      <c r="Y4">
        <v>70.510000000000005</v>
      </c>
      <c r="Z4">
        <v>604</v>
      </c>
      <c r="AA4">
        <v>3</v>
      </c>
    </row>
    <row r="5" spans="1:27" x14ac:dyDescent="0.25">
      <c r="A5" t="s">
        <v>93</v>
      </c>
      <c r="B5" t="s">
        <v>79</v>
      </c>
      <c r="C5" t="s">
        <v>94</v>
      </c>
      <c r="D5" t="s">
        <v>1</v>
      </c>
      <c r="E5">
        <v>10</v>
      </c>
      <c r="F5" t="s">
        <v>92</v>
      </c>
      <c r="G5">
        <v>608</v>
      </c>
      <c r="H5">
        <v>76</v>
      </c>
      <c r="I5">
        <v>8</v>
      </c>
      <c r="J5">
        <v>8</v>
      </c>
      <c r="K5">
        <v>0</v>
      </c>
      <c r="L5">
        <v>375</v>
      </c>
      <c r="M5">
        <v>120</v>
      </c>
      <c r="N5">
        <v>6</v>
      </c>
      <c r="O5">
        <v>55</v>
      </c>
      <c r="P5">
        <v>2</v>
      </c>
      <c r="Q5">
        <v>0</v>
      </c>
      <c r="R5">
        <v>0</v>
      </c>
      <c r="S5">
        <v>5</v>
      </c>
      <c r="T5">
        <v>1</v>
      </c>
      <c r="U5">
        <v>1</v>
      </c>
      <c r="V5">
        <v>1</v>
      </c>
      <c r="W5">
        <v>0</v>
      </c>
      <c r="X5">
        <v>24.8</v>
      </c>
      <c r="Y5">
        <v>68.739999999999995</v>
      </c>
      <c r="Z5">
        <v>409</v>
      </c>
      <c r="AA5">
        <v>3</v>
      </c>
    </row>
    <row r="6" spans="1:27" x14ac:dyDescent="0.25">
      <c r="A6" t="s">
        <v>78</v>
      </c>
      <c r="B6" t="s">
        <v>79</v>
      </c>
      <c r="C6" t="s">
        <v>80</v>
      </c>
      <c r="D6" t="s">
        <v>1</v>
      </c>
      <c r="E6">
        <v>5</v>
      </c>
      <c r="F6" t="s">
        <v>92</v>
      </c>
      <c r="G6">
        <v>726.5</v>
      </c>
      <c r="H6">
        <v>80.72</v>
      </c>
      <c r="I6">
        <v>9</v>
      </c>
      <c r="J6">
        <v>9</v>
      </c>
      <c r="K6">
        <v>0</v>
      </c>
      <c r="L6">
        <v>397</v>
      </c>
      <c r="M6">
        <v>140</v>
      </c>
      <c r="N6">
        <v>7</v>
      </c>
      <c r="O6">
        <v>80</v>
      </c>
      <c r="P6">
        <v>6</v>
      </c>
      <c r="Q6">
        <v>0</v>
      </c>
      <c r="R6">
        <v>0</v>
      </c>
      <c r="S6">
        <v>6</v>
      </c>
      <c r="T6">
        <v>3</v>
      </c>
      <c r="U6">
        <v>1</v>
      </c>
      <c r="V6">
        <v>1</v>
      </c>
      <c r="W6">
        <v>1</v>
      </c>
      <c r="X6">
        <v>22.2</v>
      </c>
      <c r="Y6">
        <v>69.77</v>
      </c>
      <c r="Z6" s="6">
        <v>1318</v>
      </c>
      <c r="AA6">
        <v>3</v>
      </c>
    </row>
    <row r="7" spans="1:27" x14ac:dyDescent="0.25">
      <c r="A7" t="s">
        <v>88</v>
      </c>
      <c r="B7" t="s">
        <v>79</v>
      </c>
      <c r="C7" t="s">
        <v>89</v>
      </c>
      <c r="D7" t="s">
        <v>1</v>
      </c>
      <c r="E7">
        <v>1</v>
      </c>
      <c r="F7" t="s">
        <v>81</v>
      </c>
      <c r="G7">
        <v>648</v>
      </c>
      <c r="H7">
        <v>72</v>
      </c>
      <c r="I7">
        <v>9</v>
      </c>
      <c r="J7">
        <v>9</v>
      </c>
      <c r="K7">
        <v>0</v>
      </c>
      <c r="L7">
        <v>389</v>
      </c>
      <c r="M7">
        <v>136</v>
      </c>
      <c r="N7">
        <v>6</v>
      </c>
      <c r="O7">
        <v>95</v>
      </c>
      <c r="P7">
        <v>4</v>
      </c>
      <c r="Q7">
        <v>0</v>
      </c>
      <c r="R7">
        <v>0</v>
      </c>
      <c r="S7">
        <v>4</v>
      </c>
      <c r="T7">
        <v>2</v>
      </c>
      <c r="U7">
        <v>2</v>
      </c>
      <c r="V7">
        <v>1</v>
      </c>
      <c r="W7">
        <v>0</v>
      </c>
      <c r="X7">
        <v>31.2</v>
      </c>
      <c r="Y7">
        <v>70.37</v>
      </c>
      <c r="Z7">
        <v>905</v>
      </c>
      <c r="AA7">
        <v>3</v>
      </c>
    </row>
    <row r="8" spans="1:27" x14ac:dyDescent="0.25">
      <c r="A8" t="s">
        <v>108</v>
      </c>
      <c r="B8" t="s">
        <v>79</v>
      </c>
      <c r="C8" t="s">
        <v>109</v>
      </c>
      <c r="D8" t="s">
        <v>1</v>
      </c>
      <c r="E8">
        <v>13</v>
      </c>
      <c r="F8" t="s">
        <v>103</v>
      </c>
      <c r="G8">
        <v>67.5</v>
      </c>
      <c r="H8">
        <v>67.5</v>
      </c>
      <c r="I8">
        <v>1</v>
      </c>
      <c r="J8">
        <v>1</v>
      </c>
      <c r="K8">
        <v>0</v>
      </c>
      <c r="L8">
        <v>48</v>
      </c>
      <c r="M8">
        <v>16</v>
      </c>
      <c r="N8">
        <v>0</v>
      </c>
      <c r="O8">
        <v>7</v>
      </c>
      <c r="P8">
        <v>1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52</v>
      </c>
      <c r="Y8">
        <v>68.25</v>
      </c>
      <c r="Z8">
        <v>7</v>
      </c>
      <c r="AA8">
        <v>3</v>
      </c>
    </row>
    <row r="9" spans="1:27" x14ac:dyDescent="0.25">
      <c r="A9" t="s">
        <v>84</v>
      </c>
      <c r="B9" t="s">
        <v>79</v>
      </c>
      <c r="C9" t="s">
        <v>85</v>
      </c>
      <c r="D9" t="s">
        <v>1</v>
      </c>
      <c r="E9">
        <v>4</v>
      </c>
      <c r="F9" t="s">
        <v>81</v>
      </c>
      <c r="G9">
        <v>712.5</v>
      </c>
      <c r="H9">
        <v>71.25</v>
      </c>
      <c r="I9">
        <v>10</v>
      </c>
      <c r="J9">
        <v>10</v>
      </c>
      <c r="K9">
        <v>0</v>
      </c>
      <c r="L9">
        <v>437</v>
      </c>
      <c r="M9">
        <v>154</v>
      </c>
      <c r="N9">
        <v>7</v>
      </c>
      <c r="O9">
        <v>96</v>
      </c>
      <c r="P9">
        <v>8</v>
      </c>
      <c r="Q9">
        <v>0</v>
      </c>
      <c r="R9">
        <v>0</v>
      </c>
      <c r="S9">
        <v>5</v>
      </c>
      <c r="T9">
        <v>0</v>
      </c>
      <c r="U9">
        <v>0</v>
      </c>
      <c r="V9">
        <v>0</v>
      </c>
      <c r="W9">
        <v>0</v>
      </c>
      <c r="X9">
        <v>29.4</v>
      </c>
      <c r="Y9">
        <v>69.849999999999994</v>
      </c>
      <c r="Z9">
        <v>424</v>
      </c>
      <c r="AA9">
        <v>3</v>
      </c>
    </row>
    <row r="10" spans="1:27" x14ac:dyDescent="0.25">
      <c r="A10" t="s">
        <v>97</v>
      </c>
      <c r="B10" t="s">
        <v>79</v>
      </c>
      <c r="C10" t="s">
        <v>98</v>
      </c>
      <c r="D10" t="s">
        <v>1</v>
      </c>
      <c r="E10">
        <v>3</v>
      </c>
      <c r="F10" t="s">
        <v>92</v>
      </c>
      <c r="G10">
        <v>504</v>
      </c>
      <c r="H10">
        <v>63</v>
      </c>
      <c r="I10">
        <v>8</v>
      </c>
      <c r="J10">
        <v>7</v>
      </c>
      <c r="K10">
        <v>1</v>
      </c>
      <c r="L10">
        <v>350</v>
      </c>
      <c r="M10">
        <v>101</v>
      </c>
      <c r="N10">
        <v>2</v>
      </c>
      <c r="O10">
        <v>66</v>
      </c>
      <c r="P10">
        <v>1</v>
      </c>
      <c r="Q10">
        <v>2</v>
      </c>
      <c r="R10">
        <v>2</v>
      </c>
      <c r="S10">
        <v>4</v>
      </c>
      <c r="T10">
        <v>3</v>
      </c>
      <c r="U10">
        <v>1</v>
      </c>
      <c r="V10">
        <v>1</v>
      </c>
      <c r="W10">
        <v>0</v>
      </c>
      <c r="X10">
        <v>25.9</v>
      </c>
      <c r="Y10">
        <v>70.59</v>
      </c>
      <c r="Z10">
        <v>625</v>
      </c>
      <c r="AA10">
        <v>3</v>
      </c>
    </row>
    <row r="11" spans="1:27" x14ac:dyDescent="0.25">
      <c r="A11" t="s">
        <v>360</v>
      </c>
      <c r="B11" t="s">
        <v>79</v>
      </c>
      <c r="C11" t="s">
        <v>361</v>
      </c>
      <c r="D11" t="s">
        <v>1</v>
      </c>
      <c r="E11">
        <v>16</v>
      </c>
      <c r="F11" t="s">
        <v>92</v>
      </c>
      <c r="G11">
        <v>24.5</v>
      </c>
      <c r="H11">
        <v>24.5</v>
      </c>
      <c r="I11">
        <v>1</v>
      </c>
      <c r="J11">
        <v>0</v>
      </c>
      <c r="K11">
        <v>1</v>
      </c>
      <c r="L11">
        <v>18</v>
      </c>
      <c r="M11">
        <v>7</v>
      </c>
      <c r="N11">
        <v>0</v>
      </c>
      <c r="O11">
        <v>11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83</v>
      </c>
      <c r="Y11">
        <v>72</v>
      </c>
      <c r="Z11">
        <v>0</v>
      </c>
      <c r="AA11">
        <v>3</v>
      </c>
    </row>
    <row r="12" spans="1:27" x14ac:dyDescent="0.25">
      <c r="A12" t="s">
        <v>99</v>
      </c>
      <c r="B12" t="s">
        <v>79</v>
      </c>
      <c r="C12" t="s">
        <v>100</v>
      </c>
      <c r="D12" t="s">
        <v>1</v>
      </c>
      <c r="E12">
        <v>14</v>
      </c>
      <c r="F12" t="s">
        <v>81</v>
      </c>
      <c r="G12">
        <v>407</v>
      </c>
      <c r="H12">
        <v>67.83</v>
      </c>
      <c r="I12">
        <v>6</v>
      </c>
      <c r="J12">
        <v>3</v>
      </c>
      <c r="K12">
        <v>3</v>
      </c>
      <c r="L12">
        <v>211</v>
      </c>
      <c r="M12">
        <v>84</v>
      </c>
      <c r="N12">
        <v>2</v>
      </c>
      <c r="O12">
        <v>37</v>
      </c>
      <c r="P12">
        <v>8</v>
      </c>
      <c r="Q12">
        <v>0</v>
      </c>
      <c r="R12">
        <v>0</v>
      </c>
      <c r="S12">
        <v>2</v>
      </c>
      <c r="T12">
        <v>2</v>
      </c>
      <c r="U12">
        <v>1</v>
      </c>
      <c r="V12">
        <v>1</v>
      </c>
      <c r="W12">
        <v>1</v>
      </c>
      <c r="X12">
        <v>43</v>
      </c>
      <c r="Y12">
        <v>69.319999999999993</v>
      </c>
      <c r="Z12">
        <v>589</v>
      </c>
      <c r="AA12">
        <v>3</v>
      </c>
    </row>
    <row r="13" spans="1:27" x14ac:dyDescent="0.25">
      <c r="A13" t="s">
        <v>118</v>
      </c>
      <c r="B13" t="s">
        <v>79</v>
      </c>
      <c r="C13" t="s">
        <v>119</v>
      </c>
      <c r="D13" t="s">
        <v>1</v>
      </c>
      <c r="E13">
        <v>9</v>
      </c>
      <c r="F13" t="s">
        <v>92</v>
      </c>
      <c r="G13">
        <v>44.5</v>
      </c>
      <c r="H13">
        <v>44.5</v>
      </c>
      <c r="I13">
        <v>1</v>
      </c>
      <c r="J13">
        <v>1</v>
      </c>
      <c r="K13">
        <v>0</v>
      </c>
      <c r="L13">
        <v>46</v>
      </c>
      <c r="M13">
        <v>10</v>
      </c>
      <c r="N13">
        <v>0</v>
      </c>
      <c r="O13">
        <v>13</v>
      </c>
      <c r="P13">
        <v>3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45</v>
      </c>
      <c r="Y13">
        <v>74.25</v>
      </c>
      <c r="Z13">
        <v>0</v>
      </c>
      <c r="AA13">
        <v>3</v>
      </c>
    </row>
    <row r="14" spans="1:27" x14ac:dyDescent="0.25">
      <c r="A14" t="s">
        <v>95</v>
      </c>
      <c r="B14" t="s">
        <v>79</v>
      </c>
      <c r="C14" t="s">
        <v>96</v>
      </c>
      <c r="D14" t="s">
        <v>1</v>
      </c>
      <c r="E14">
        <v>16</v>
      </c>
      <c r="F14" t="s">
        <v>92</v>
      </c>
      <c r="G14">
        <v>359</v>
      </c>
      <c r="H14">
        <v>89.75</v>
      </c>
      <c r="I14">
        <v>4</v>
      </c>
      <c r="J14">
        <v>3</v>
      </c>
      <c r="K14">
        <v>1</v>
      </c>
      <c r="L14">
        <v>152</v>
      </c>
      <c r="M14">
        <v>74</v>
      </c>
      <c r="N14">
        <v>0</v>
      </c>
      <c r="O14">
        <v>24</v>
      </c>
      <c r="P14">
        <v>2</v>
      </c>
      <c r="Q14">
        <v>0</v>
      </c>
      <c r="R14">
        <v>0</v>
      </c>
      <c r="S14">
        <v>3</v>
      </c>
      <c r="T14">
        <v>3</v>
      </c>
      <c r="U14">
        <v>2</v>
      </c>
      <c r="V14">
        <v>1</v>
      </c>
      <c r="W14">
        <v>1</v>
      </c>
      <c r="X14">
        <v>24</v>
      </c>
      <c r="Y14">
        <v>67.569999999999993</v>
      </c>
      <c r="Z14">
        <v>689</v>
      </c>
      <c r="AA14">
        <v>3</v>
      </c>
    </row>
    <row r="15" spans="1:27" x14ac:dyDescent="0.25">
      <c r="A15" t="s">
        <v>379</v>
      </c>
      <c r="B15" t="s">
        <v>79</v>
      </c>
      <c r="C15" t="s">
        <v>380</v>
      </c>
      <c r="D15" t="s">
        <v>1</v>
      </c>
      <c r="E15">
        <v>16</v>
      </c>
      <c r="F15" t="s">
        <v>81</v>
      </c>
      <c r="G15">
        <v>35.5</v>
      </c>
      <c r="H15">
        <v>35.5</v>
      </c>
      <c r="I15">
        <v>1</v>
      </c>
      <c r="J15">
        <v>0</v>
      </c>
      <c r="K15">
        <v>1</v>
      </c>
      <c r="L15">
        <v>22</v>
      </c>
      <c r="M15">
        <v>9</v>
      </c>
      <c r="N15">
        <v>0</v>
      </c>
      <c r="O15">
        <v>5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66</v>
      </c>
      <c r="Y15">
        <v>69</v>
      </c>
      <c r="Z15">
        <v>0</v>
      </c>
      <c r="AA15">
        <v>3</v>
      </c>
    </row>
    <row r="16" spans="1:27" x14ac:dyDescent="0.25">
      <c r="A16" t="s">
        <v>90</v>
      </c>
      <c r="B16" t="s">
        <v>79</v>
      </c>
      <c r="C16" t="s">
        <v>91</v>
      </c>
      <c r="D16" t="s">
        <v>1</v>
      </c>
      <c r="E16">
        <v>6</v>
      </c>
      <c r="F16" t="s">
        <v>92</v>
      </c>
      <c r="G16">
        <v>505</v>
      </c>
      <c r="H16">
        <v>72.14</v>
      </c>
      <c r="I16">
        <v>7</v>
      </c>
      <c r="J16">
        <v>6</v>
      </c>
      <c r="K16">
        <v>1</v>
      </c>
      <c r="L16">
        <v>281</v>
      </c>
      <c r="M16">
        <v>115</v>
      </c>
      <c r="N16">
        <v>1</v>
      </c>
      <c r="O16">
        <v>47</v>
      </c>
      <c r="P16">
        <v>5</v>
      </c>
      <c r="Q16">
        <v>1</v>
      </c>
      <c r="R16">
        <v>1</v>
      </c>
      <c r="S16">
        <v>3</v>
      </c>
      <c r="T16">
        <v>1</v>
      </c>
      <c r="U16">
        <v>1</v>
      </c>
      <c r="V16">
        <v>1</v>
      </c>
      <c r="W16">
        <v>0</v>
      </c>
      <c r="X16">
        <v>30</v>
      </c>
      <c r="Y16">
        <v>68.84</v>
      </c>
      <c r="Z16">
        <v>500</v>
      </c>
      <c r="AA16">
        <v>3</v>
      </c>
    </row>
    <row r="17" spans="1:27" x14ac:dyDescent="0.25">
      <c r="A17" t="s">
        <v>101</v>
      </c>
      <c r="B17" t="s">
        <v>79</v>
      </c>
      <c r="C17" t="s">
        <v>102</v>
      </c>
      <c r="D17" t="s">
        <v>1</v>
      </c>
      <c r="E17">
        <v>15</v>
      </c>
      <c r="F17" t="s">
        <v>103</v>
      </c>
      <c r="G17">
        <v>167</v>
      </c>
      <c r="H17">
        <v>55.67</v>
      </c>
      <c r="I17">
        <v>3</v>
      </c>
      <c r="J17">
        <v>2</v>
      </c>
      <c r="K17">
        <v>1</v>
      </c>
      <c r="L17">
        <v>110</v>
      </c>
      <c r="M17">
        <v>37</v>
      </c>
      <c r="N17">
        <v>2</v>
      </c>
      <c r="O17">
        <v>28</v>
      </c>
      <c r="P17">
        <v>3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56</v>
      </c>
      <c r="Y17">
        <v>69.7</v>
      </c>
      <c r="Z17">
        <v>28</v>
      </c>
      <c r="AA17">
        <v>3</v>
      </c>
    </row>
    <row r="18" spans="1:27" x14ac:dyDescent="0.25">
      <c r="A18" t="s">
        <v>86</v>
      </c>
      <c r="B18" t="s">
        <v>79</v>
      </c>
      <c r="C18" t="s">
        <v>87</v>
      </c>
      <c r="D18" t="s">
        <v>1</v>
      </c>
      <c r="E18">
        <v>2</v>
      </c>
      <c r="F18" t="s">
        <v>81</v>
      </c>
      <c r="G18">
        <v>570</v>
      </c>
      <c r="H18">
        <v>71.25</v>
      </c>
      <c r="I18">
        <v>8</v>
      </c>
      <c r="J18">
        <v>7</v>
      </c>
      <c r="K18">
        <v>1</v>
      </c>
      <c r="L18">
        <v>322</v>
      </c>
      <c r="M18">
        <v>124</v>
      </c>
      <c r="N18">
        <v>6</v>
      </c>
      <c r="O18">
        <v>84</v>
      </c>
      <c r="P18">
        <v>4</v>
      </c>
      <c r="Q18">
        <v>0</v>
      </c>
      <c r="R18">
        <v>0</v>
      </c>
      <c r="S18">
        <v>3</v>
      </c>
      <c r="T18">
        <v>1</v>
      </c>
      <c r="U18">
        <v>1</v>
      </c>
      <c r="V18">
        <v>1</v>
      </c>
      <c r="W18">
        <v>0</v>
      </c>
      <c r="X18">
        <v>42.1</v>
      </c>
      <c r="Y18">
        <v>70.069999999999993</v>
      </c>
      <c r="Z18">
        <v>357</v>
      </c>
      <c r="AA18">
        <v>3</v>
      </c>
    </row>
    <row r="19" spans="1:27" x14ac:dyDescent="0.25">
      <c r="A19" t="s">
        <v>116</v>
      </c>
      <c r="B19" t="s">
        <v>79</v>
      </c>
      <c r="C19" t="s">
        <v>117</v>
      </c>
      <c r="D19" t="s">
        <v>1</v>
      </c>
      <c r="E19">
        <v>16</v>
      </c>
      <c r="F19" t="s">
        <v>92</v>
      </c>
      <c r="G19">
        <v>59.5</v>
      </c>
      <c r="H19">
        <v>59.5</v>
      </c>
      <c r="I19">
        <v>1</v>
      </c>
      <c r="J19">
        <v>1</v>
      </c>
      <c r="K19">
        <v>0</v>
      </c>
      <c r="L19">
        <v>40</v>
      </c>
      <c r="M19">
        <v>15</v>
      </c>
      <c r="N19">
        <v>0</v>
      </c>
      <c r="O19">
        <v>15</v>
      </c>
      <c r="P19">
        <v>2</v>
      </c>
      <c r="Q19">
        <v>0</v>
      </c>
      <c r="R19">
        <v>0</v>
      </c>
      <c r="S19">
        <v>1</v>
      </c>
      <c r="T19">
        <v>0</v>
      </c>
      <c r="U19">
        <v>0</v>
      </c>
      <c r="V19">
        <v>0</v>
      </c>
      <c r="W19">
        <v>0</v>
      </c>
      <c r="X19">
        <v>22</v>
      </c>
      <c r="Y19">
        <v>73</v>
      </c>
      <c r="Z19">
        <v>0</v>
      </c>
      <c r="AA19">
        <v>3</v>
      </c>
    </row>
    <row r="20" spans="1:27" x14ac:dyDescent="0.25">
      <c r="A20" t="s">
        <v>112</v>
      </c>
      <c r="B20" t="s">
        <v>79</v>
      </c>
      <c r="C20" t="s">
        <v>113</v>
      </c>
      <c r="D20" t="s">
        <v>1</v>
      </c>
      <c r="E20">
        <v>16</v>
      </c>
      <c r="F20" t="s">
        <v>81</v>
      </c>
      <c r="G20">
        <v>54</v>
      </c>
      <c r="H20">
        <v>27</v>
      </c>
      <c r="I20">
        <v>2</v>
      </c>
      <c r="J20">
        <v>0</v>
      </c>
      <c r="K20">
        <v>2</v>
      </c>
      <c r="L20">
        <v>45</v>
      </c>
      <c r="M20">
        <v>13</v>
      </c>
      <c r="N20">
        <v>0</v>
      </c>
      <c r="O20">
        <v>13</v>
      </c>
      <c r="P20">
        <v>1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73.5</v>
      </c>
      <c r="Y20">
        <v>71.5</v>
      </c>
      <c r="Z20">
        <v>0</v>
      </c>
      <c r="AA20">
        <v>3</v>
      </c>
    </row>
    <row r="21" spans="1:27" x14ac:dyDescent="0.25">
      <c r="A21" t="s">
        <v>381</v>
      </c>
      <c r="B21" t="s">
        <v>79</v>
      </c>
      <c r="C21" t="s">
        <v>382</v>
      </c>
      <c r="D21" t="s">
        <v>1</v>
      </c>
      <c r="E21">
        <v>16</v>
      </c>
      <c r="F21" t="s">
        <v>81</v>
      </c>
      <c r="G21">
        <v>29.5</v>
      </c>
      <c r="H21">
        <v>29.5</v>
      </c>
      <c r="I21">
        <v>1</v>
      </c>
      <c r="J21">
        <v>0</v>
      </c>
      <c r="K21">
        <v>1</v>
      </c>
      <c r="L21">
        <v>30</v>
      </c>
      <c r="M21">
        <v>5</v>
      </c>
      <c r="N21">
        <v>0</v>
      </c>
      <c r="O21">
        <v>1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66</v>
      </c>
      <c r="Y21">
        <v>69</v>
      </c>
      <c r="Z21">
        <v>0</v>
      </c>
      <c r="AA21">
        <v>3</v>
      </c>
    </row>
    <row r="22" spans="1:27" x14ac:dyDescent="0.25">
      <c r="A22" t="s">
        <v>324</v>
      </c>
      <c r="B22" t="s">
        <v>79</v>
      </c>
      <c r="C22" t="s">
        <v>325</v>
      </c>
      <c r="D22" t="s">
        <v>1</v>
      </c>
      <c r="E22">
        <v>16</v>
      </c>
      <c r="F22" t="s">
        <v>81</v>
      </c>
      <c r="G22">
        <v>63</v>
      </c>
      <c r="H22">
        <v>63</v>
      </c>
      <c r="I22">
        <v>1</v>
      </c>
      <c r="J22">
        <v>1</v>
      </c>
      <c r="K22">
        <v>0</v>
      </c>
      <c r="L22">
        <v>47</v>
      </c>
      <c r="M22">
        <v>14</v>
      </c>
      <c r="N22">
        <v>0</v>
      </c>
      <c r="O22">
        <v>11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26</v>
      </c>
      <c r="Y22">
        <v>70.25</v>
      </c>
      <c r="Z22">
        <v>30</v>
      </c>
      <c r="AA22">
        <v>3</v>
      </c>
    </row>
    <row r="23" spans="1:27" x14ac:dyDescent="0.25">
      <c r="A23" t="s">
        <v>104</v>
      </c>
      <c r="B23" t="s">
        <v>79</v>
      </c>
      <c r="C23" t="s">
        <v>105</v>
      </c>
      <c r="D23" t="s">
        <v>1</v>
      </c>
      <c r="E23">
        <v>11</v>
      </c>
      <c r="F23" t="s">
        <v>92</v>
      </c>
      <c r="G23">
        <v>283</v>
      </c>
      <c r="H23">
        <v>70.75</v>
      </c>
      <c r="I23">
        <v>4</v>
      </c>
      <c r="J23">
        <v>4</v>
      </c>
      <c r="K23">
        <v>0</v>
      </c>
      <c r="L23">
        <v>181</v>
      </c>
      <c r="M23">
        <v>65</v>
      </c>
      <c r="N23">
        <v>1</v>
      </c>
      <c r="O23">
        <v>39</v>
      </c>
      <c r="P23">
        <v>2</v>
      </c>
      <c r="Q23">
        <v>0</v>
      </c>
      <c r="R23">
        <v>0</v>
      </c>
      <c r="S23">
        <v>1</v>
      </c>
      <c r="T23">
        <v>0</v>
      </c>
      <c r="U23">
        <v>0</v>
      </c>
      <c r="V23">
        <v>0</v>
      </c>
      <c r="W23">
        <v>0</v>
      </c>
      <c r="X23">
        <v>31.3</v>
      </c>
      <c r="Y23">
        <v>70</v>
      </c>
      <c r="Z23">
        <v>168</v>
      </c>
      <c r="AA23">
        <v>3</v>
      </c>
    </row>
    <row r="24" spans="1:27" x14ac:dyDescent="0.25">
      <c r="A24" t="s">
        <v>114</v>
      </c>
      <c r="B24" t="s">
        <v>79</v>
      </c>
      <c r="C24" t="s">
        <v>115</v>
      </c>
      <c r="D24" t="s">
        <v>1</v>
      </c>
      <c r="E24">
        <v>8</v>
      </c>
      <c r="F24" t="s">
        <v>103</v>
      </c>
      <c r="G24">
        <v>29.5</v>
      </c>
      <c r="H24">
        <v>29.5</v>
      </c>
      <c r="I24">
        <v>1</v>
      </c>
      <c r="J24">
        <v>0</v>
      </c>
      <c r="K24">
        <v>1</v>
      </c>
      <c r="L24">
        <v>23</v>
      </c>
      <c r="M24">
        <v>7</v>
      </c>
      <c r="N24">
        <v>0</v>
      </c>
      <c r="O24">
        <v>6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66</v>
      </c>
      <c r="Y24">
        <v>70.5</v>
      </c>
      <c r="Z24">
        <v>0</v>
      </c>
      <c r="AA24">
        <v>3</v>
      </c>
    </row>
    <row r="25" spans="1:27" x14ac:dyDescent="0.25">
      <c r="A25" t="s">
        <v>334</v>
      </c>
      <c r="B25" t="s">
        <v>79</v>
      </c>
      <c r="C25" t="s">
        <v>335</v>
      </c>
      <c r="D25" t="s">
        <v>4</v>
      </c>
      <c r="E25">
        <v>5</v>
      </c>
      <c r="F25" t="s">
        <v>81</v>
      </c>
      <c r="G25">
        <v>579</v>
      </c>
      <c r="H25">
        <v>57.9</v>
      </c>
      <c r="I25">
        <v>10</v>
      </c>
      <c r="J25">
        <v>7</v>
      </c>
      <c r="K25">
        <v>3</v>
      </c>
      <c r="L25">
        <v>358</v>
      </c>
      <c r="M25">
        <v>128</v>
      </c>
      <c r="N25">
        <v>4</v>
      </c>
      <c r="O25">
        <v>92</v>
      </c>
      <c r="P25">
        <v>10</v>
      </c>
      <c r="Q25">
        <v>2</v>
      </c>
      <c r="R25">
        <v>2</v>
      </c>
      <c r="S25">
        <v>4</v>
      </c>
      <c r="T25">
        <v>1</v>
      </c>
      <c r="U25">
        <v>1</v>
      </c>
      <c r="V25">
        <v>1</v>
      </c>
      <c r="W25">
        <v>0</v>
      </c>
      <c r="X25">
        <v>39.4</v>
      </c>
      <c r="Y25">
        <v>70.849999999999994</v>
      </c>
      <c r="Z25">
        <v>605</v>
      </c>
      <c r="AA25">
        <v>2</v>
      </c>
    </row>
    <row r="26" spans="1:27" x14ac:dyDescent="0.25">
      <c r="A26" t="s">
        <v>374</v>
      </c>
      <c r="B26" t="s">
        <v>79</v>
      </c>
      <c r="C26" t="s">
        <v>375</v>
      </c>
      <c r="D26" t="s">
        <v>4</v>
      </c>
      <c r="E26">
        <v>16</v>
      </c>
      <c r="F26" t="s">
        <v>92</v>
      </c>
      <c r="G26">
        <v>7.5</v>
      </c>
      <c r="H26">
        <v>7.5</v>
      </c>
      <c r="I26">
        <v>1</v>
      </c>
      <c r="J26">
        <v>0</v>
      </c>
      <c r="K26">
        <v>1</v>
      </c>
      <c r="L26">
        <v>23</v>
      </c>
      <c r="M26">
        <v>1</v>
      </c>
      <c r="N26">
        <v>0</v>
      </c>
      <c r="O26">
        <v>10</v>
      </c>
      <c r="P26">
        <v>2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60</v>
      </c>
      <c r="Y26">
        <v>78.5</v>
      </c>
      <c r="Z26">
        <v>0</v>
      </c>
      <c r="AA26">
        <v>2</v>
      </c>
    </row>
    <row r="27" spans="1:27" x14ac:dyDescent="0.25">
      <c r="A27" t="s">
        <v>356</v>
      </c>
      <c r="B27" t="s">
        <v>79</v>
      </c>
      <c r="C27" t="s">
        <v>357</v>
      </c>
      <c r="D27" t="s">
        <v>4</v>
      </c>
      <c r="E27">
        <v>16</v>
      </c>
      <c r="F27" t="s">
        <v>103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2</v>
      </c>
    </row>
    <row r="28" spans="1:27" x14ac:dyDescent="0.25">
      <c r="A28" t="s">
        <v>350</v>
      </c>
      <c r="B28" t="s">
        <v>79</v>
      </c>
      <c r="C28" t="s">
        <v>351</v>
      </c>
      <c r="D28" t="s">
        <v>4</v>
      </c>
      <c r="E28">
        <v>7</v>
      </c>
      <c r="F28" t="s">
        <v>92</v>
      </c>
      <c r="G28">
        <v>380</v>
      </c>
      <c r="H28">
        <v>63.33</v>
      </c>
      <c r="I28">
        <v>6</v>
      </c>
      <c r="J28">
        <v>6</v>
      </c>
      <c r="K28">
        <v>0</v>
      </c>
      <c r="L28">
        <v>259</v>
      </c>
      <c r="M28">
        <v>87</v>
      </c>
      <c r="N28">
        <v>1</v>
      </c>
      <c r="O28">
        <v>59</v>
      </c>
      <c r="P28">
        <v>8</v>
      </c>
      <c r="Q28">
        <v>0</v>
      </c>
      <c r="R28">
        <v>0</v>
      </c>
      <c r="S28">
        <v>1</v>
      </c>
      <c r="T28">
        <v>1</v>
      </c>
      <c r="U28">
        <v>1</v>
      </c>
      <c r="V28">
        <v>0</v>
      </c>
      <c r="W28">
        <v>0</v>
      </c>
      <c r="X28">
        <v>40.700000000000003</v>
      </c>
      <c r="Y28">
        <v>70.52</v>
      </c>
      <c r="Z28">
        <v>168</v>
      </c>
      <c r="AA28">
        <v>2</v>
      </c>
    </row>
    <row r="29" spans="1:27" x14ac:dyDescent="0.25">
      <c r="A29" t="s">
        <v>358</v>
      </c>
      <c r="B29" t="s">
        <v>79</v>
      </c>
      <c r="C29" t="s">
        <v>359</v>
      </c>
      <c r="D29" t="s">
        <v>4</v>
      </c>
      <c r="E29">
        <v>14</v>
      </c>
      <c r="F29" t="s">
        <v>103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2</v>
      </c>
    </row>
    <row r="30" spans="1:27" x14ac:dyDescent="0.25">
      <c r="A30" t="s">
        <v>362</v>
      </c>
      <c r="B30" t="s">
        <v>79</v>
      </c>
      <c r="C30" t="s">
        <v>363</v>
      </c>
      <c r="D30" t="s">
        <v>4</v>
      </c>
      <c r="E30">
        <v>16</v>
      </c>
      <c r="F30" t="s">
        <v>81</v>
      </c>
      <c r="G30">
        <v>60.5</v>
      </c>
      <c r="H30">
        <v>60.5</v>
      </c>
      <c r="I30">
        <v>1</v>
      </c>
      <c r="J30">
        <v>1</v>
      </c>
      <c r="K30">
        <v>0</v>
      </c>
      <c r="L30">
        <v>49</v>
      </c>
      <c r="M30">
        <v>13</v>
      </c>
      <c r="N30">
        <v>0</v>
      </c>
      <c r="O30">
        <v>10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36</v>
      </c>
      <c r="Y30">
        <v>69.25</v>
      </c>
      <c r="Z30">
        <v>16</v>
      </c>
      <c r="AA30">
        <v>2</v>
      </c>
    </row>
    <row r="31" spans="1:27" x14ac:dyDescent="0.25">
      <c r="A31" t="s">
        <v>346</v>
      </c>
      <c r="B31" t="s">
        <v>79</v>
      </c>
      <c r="C31" t="s">
        <v>347</v>
      </c>
      <c r="D31" t="s">
        <v>4</v>
      </c>
      <c r="E31">
        <v>6</v>
      </c>
      <c r="F31" t="s">
        <v>92</v>
      </c>
      <c r="G31">
        <v>283</v>
      </c>
      <c r="H31">
        <v>56.6</v>
      </c>
      <c r="I31">
        <v>5</v>
      </c>
      <c r="J31">
        <v>2</v>
      </c>
      <c r="K31">
        <v>3</v>
      </c>
      <c r="L31">
        <v>149</v>
      </c>
      <c r="M31">
        <v>65</v>
      </c>
      <c r="N31">
        <v>1</v>
      </c>
      <c r="O31">
        <v>33</v>
      </c>
      <c r="P31">
        <v>4</v>
      </c>
      <c r="Q31">
        <v>0</v>
      </c>
      <c r="R31">
        <v>0</v>
      </c>
      <c r="S31">
        <v>2</v>
      </c>
      <c r="T31">
        <v>2</v>
      </c>
      <c r="U31">
        <v>1</v>
      </c>
      <c r="V31">
        <v>0</v>
      </c>
      <c r="W31">
        <v>0</v>
      </c>
      <c r="X31">
        <v>48</v>
      </c>
      <c r="Y31">
        <v>69.430000000000007</v>
      </c>
      <c r="Z31">
        <v>188</v>
      </c>
      <c r="AA31">
        <v>2</v>
      </c>
    </row>
    <row r="32" spans="1:27" x14ac:dyDescent="0.25">
      <c r="A32" t="s">
        <v>336</v>
      </c>
      <c r="B32" t="s">
        <v>79</v>
      </c>
      <c r="C32" t="s">
        <v>337</v>
      </c>
      <c r="D32" t="s">
        <v>4</v>
      </c>
      <c r="E32">
        <v>3</v>
      </c>
      <c r="F32" t="s">
        <v>81</v>
      </c>
      <c r="G32">
        <v>651.5</v>
      </c>
      <c r="H32">
        <v>59.23</v>
      </c>
      <c r="I32">
        <v>11</v>
      </c>
      <c r="J32">
        <v>8</v>
      </c>
      <c r="K32">
        <v>3</v>
      </c>
      <c r="L32">
        <v>410</v>
      </c>
      <c r="M32">
        <v>148</v>
      </c>
      <c r="N32">
        <v>3</v>
      </c>
      <c r="O32">
        <v>91</v>
      </c>
      <c r="P32">
        <v>12</v>
      </c>
      <c r="Q32">
        <v>2</v>
      </c>
      <c r="R32">
        <v>2</v>
      </c>
      <c r="S32">
        <v>5</v>
      </c>
      <c r="T32">
        <v>2</v>
      </c>
      <c r="U32">
        <v>1</v>
      </c>
      <c r="V32">
        <v>0</v>
      </c>
      <c r="W32">
        <v>0</v>
      </c>
      <c r="X32">
        <v>36.700000000000003</v>
      </c>
      <c r="Y32">
        <v>70.510000000000005</v>
      </c>
      <c r="Z32">
        <v>601</v>
      </c>
      <c r="AA32">
        <v>2</v>
      </c>
    </row>
    <row r="33" spans="1:27" x14ac:dyDescent="0.25">
      <c r="A33" t="s">
        <v>338</v>
      </c>
      <c r="B33" t="s">
        <v>79</v>
      </c>
      <c r="C33" t="s">
        <v>339</v>
      </c>
      <c r="D33" t="s">
        <v>4</v>
      </c>
      <c r="E33">
        <v>12</v>
      </c>
      <c r="F33" t="s">
        <v>92</v>
      </c>
      <c r="G33">
        <v>434.5</v>
      </c>
      <c r="H33">
        <v>72.42</v>
      </c>
      <c r="I33">
        <v>6</v>
      </c>
      <c r="J33">
        <v>6</v>
      </c>
      <c r="K33">
        <v>0</v>
      </c>
      <c r="L33">
        <v>262</v>
      </c>
      <c r="M33">
        <v>106</v>
      </c>
      <c r="N33">
        <v>2</v>
      </c>
      <c r="O33">
        <v>55</v>
      </c>
      <c r="P33">
        <v>6</v>
      </c>
      <c r="Q33">
        <v>1</v>
      </c>
      <c r="R33">
        <v>1</v>
      </c>
      <c r="S33">
        <v>0</v>
      </c>
      <c r="T33">
        <v>0</v>
      </c>
      <c r="U33">
        <v>0</v>
      </c>
      <c r="V33">
        <v>0</v>
      </c>
      <c r="W33">
        <v>0</v>
      </c>
      <c r="X33">
        <v>49.2</v>
      </c>
      <c r="Y33">
        <v>69.33</v>
      </c>
      <c r="Z33">
        <v>58</v>
      </c>
      <c r="AA33">
        <v>2</v>
      </c>
    </row>
    <row r="34" spans="1:27" x14ac:dyDescent="0.25">
      <c r="A34" t="s">
        <v>348</v>
      </c>
      <c r="B34" t="s">
        <v>79</v>
      </c>
      <c r="C34" t="s">
        <v>349</v>
      </c>
      <c r="D34" t="s">
        <v>4</v>
      </c>
      <c r="E34">
        <v>9</v>
      </c>
      <c r="F34" t="s">
        <v>92</v>
      </c>
      <c r="G34">
        <v>347.5</v>
      </c>
      <c r="H34">
        <v>69.5</v>
      </c>
      <c r="I34">
        <v>5</v>
      </c>
      <c r="J34">
        <v>5</v>
      </c>
      <c r="K34">
        <v>0</v>
      </c>
      <c r="L34">
        <v>233</v>
      </c>
      <c r="M34">
        <v>77</v>
      </c>
      <c r="N34">
        <v>2</v>
      </c>
      <c r="O34">
        <v>46</v>
      </c>
      <c r="P34">
        <v>2</v>
      </c>
      <c r="Q34">
        <v>0</v>
      </c>
      <c r="R34">
        <v>0</v>
      </c>
      <c r="S34">
        <v>1</v>
      </c>
      <c r="T34">
        <v>0</v>
      </c>
      <c r="U34">
        <v>0</v>
      </c>
      <c r="V34">
        <v>0</v>
      </c>
      <c r="W34">
        <v>0</v>
      </c>
      <c r="X34">
        <v>39.6</v>
      </c>
      <c r="Y34">
        <v>69.650000000000006</v>
      </c>
      <c r="Z34">
        <v>93</v>
      </c>
      <c r="AA34">
        <v>2</v>
      </c>
    </row>
    <row r="35" spans="1:27" x14ac:dyDescent="0.25">
      <c r="A35" t="s">
        <v>352</v>
      </c>
      <c r="B35" t="s">
        <v>79</v>
      </c>
      <c r="C35" t="s">
        <v>353</v>
      </c>
      <c r="D35" t="s">
        <v>4</v>
      </c>
      <c r="E35">
        <v>10</v>
      </c>
      <c r="F35" t="s">
        <v>92</v>
      </c>
      <c r="G35">
        <v>144.5</v>
      </c>
      <c r="H35">
        <v>36.119999999999997</v>
      </c>
      <c r="I35">
        <v>4</v>
      </c>
      <c r="J35">
        <v>1</v>
      </c>
      <c r="K35">
        <v>3</v>
      </c>
      <c r="L35">
        <v>108</v>
      </c>
      <c r="M35">
        <v>37</v>
      </c>
      <c r="N35">
        <v>0</v>
      </c>
      <c r="O35">
        <v>29</v>
      </c>
      <c r="P35">
        <v>6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72.3</v>
      </c>
      <c r="Y35">
        <v>71.2</v>
      </c>
      <c r="Z35">
        <v>2</v>
      </c>
      <c r="AA35">
        <v>2</v>
      </c>
    </row>
    <row r="36" spans="1:27" x14ac:dyDescent="0.25">
      <c r="A36" t="s">
        <v>364</v>
      </c>
      <c r="B36" t="s">
        <v>79</v>
      </c>
      <c r="C36" t="s">
        <v>365</v>
      </c>
      <c r="D36" t="s">
        <v>4</v>
      </c>
      <c r="E36">
        <v>16</v>
      </c>
      <c r="F36" t="s">
        <v>92</v>
      </c>
      <c r="G36">
        <v>76</v>
      </c>
      <c r="H36">
        <v>76</v>
      </c>
      <c r="I36">
        <v>1</v>
      </c>
      <c r="J36">
        <v>1</v>
      </c>
      <c r="K36">
        <v>0</v>
      </c>
      <c r="L36">
        <v>41</v>
      </c>
      <c r="M36">
        <v>17</v>
      </c>
      <c r="N36">
        <v>0</v>
      </c>
      <c r="O36">
        <v>13</v>
      </c>
      <c r="P36">
        <v>1</v>
      </c>
      <c r="Q36">
        <v>0</v>
      </c>
      <c r="R36">
        <v>0</v>
      </c>
      <c r="S36">
        <v>1</v>
      </c>
      <c r="T36">
        <v>1</v>
      </c>
      <c r="U36">
        <v>0</v>
      </c>
      <c r="V36">
        <v>0</v>
      </c>
      <c r="W36">
        <v>0</v>
      </c>
      <c r="X36">
        <v>6</v>
      </c>
      <c r="Y36">
        <v>71.5</v>
      </c>
      <c r="Z36">
        <v>0</v>
      </c>
      <c r="AA36">
        <v>2</v>
      </c>
    </row>
    <row r="37" spans="1:27" x14ac:dyDescent="0.25">
      <c r="A37" t="s">
        <v>328</v>
      </c>
      <c r="B37" t="s">
        <v>79</v>
      </c>
      <c r="C37" t="s">
        <v>329</v>
      </c>
      <c r="D37" t="s">
        <v>4</v>
      </c>
      <c r="E37">
        <v>4</v>
      </c>
      <c r="F37" t="s">
        <v>81</v>
      </c>
      <c r="G37">
        <v>702</v>
      </c>
      <c r="H37">
        <v>70.2</v>
      </c>
      <c r="I37">
        <v>10</v>
      </c>
      <c r="J37">
        <v>9</v>
      </c>
      <c r="K37">
        <v>1</v>
      </c>
      <c r="L37">
        <v>404</v>
      </c>
      <c r="M37">
        <v>162</v>
      </c>
      <c r="N37">
        <v>3</v>
      </c>
      <c r="O37">
        <v>84</v>
      </c>
      <c r="P37">
        <v>11</v>
      </c>
      <c r="Q37">
        <v>2</v>
      </c>
      <c r="R37">
        <v>2</v>
      </c>
      <c r="S37">
        <v>5</v>
      </c>
      <c r="T37">
        <v>3</v>
      </c>
      <c r="U37">
        <v>1</v>
      </c>
      <c r="V37">
        <v>0</v>
      </c>
      <c r="W37">
        <v>0</v>
      </c>
      <c r="X37">
        <v>35.1</v>
      </c>
      <c r="Y37">
        <v>69.78</v>
      </c>
      <c r="Z37">
        <v>703</v>
      </c>
      <c r="AA37">
        <v>2</v>
      </c>
    </row>
    <row r="38" spans="1:27" x14ac:dyDescent="0.25">
      <c r="A38" t="s">
        <v>342</v>
      </c>
      <c r="B38" t="s">
        <v>79</v>
      </c>
      <c r="C38" t="s">
        <v>343</v>
      </c>
      <c r="D38" t="s">
        <v>4</v>
      </c>
      <c r="E38">
        <v>1</v>
      </c>
      <c r="F38" t="s">
        <v>81</v>
      </c>
      <c r="G38">
        <v>546</v>
      </c>
      <c r="H38">
        <v>60.67</v>
      </c>
      <c r="I38">
        <v>9</v>
      </c>
      <c r="J38">
        <v>7</v>
      </c>
      <c r="K38">
        <v>2</v>
      </c>
      <c r="L38">
        <v>342</v>
      </c>
      <c r="M38">
        <v>127</v>
      </c>
      <c r="N38">
        <v>0</v>
      </c>
      <c r="O38">
        <v>80</v>
      </c>
      <c r="P38">
        <v>9</v>
      </c>
      <c r="Q38">
        <v>0</v>
      </c>
      <c r="R38">
        <v>0</v>
      </c>
      <c r="S38">
        <v>5</v>
      </c>
      <c r="T38">
        <v>2</v>
      </c>
      <c r="U38">
        <v>1</v>
      </c>
      <c r="V38">
        <v>1</v>
      </c>
      <c r="W38">
        <v>0</v>
      </c>
      <c r="X38">
        <v>35.4</v>
      </c>
      <c r="Y38">
        <v>70.680000000000007</v>
      </c>
      <c r="Z38">
        <v>864</v>
      </c>
      <c r="AA38">
        <v>2</v>
      </c>
    </row>
    <row r="39" spans="1:27" x14ac:dyDescent="0.25">
      <c r="A39" t="s">
        <v>258</v>
      </c>
      <c r="B39" t="s">
        <v>79</v>
      </c>
      <c r="C39" t="s">
        <v>259</v>
      </c>
      <c r="D39" t="s">
        <v>4</v>
      </c>
      <c r="E39">
        <v>16</v>
      </c>
      <c r="F39" t="s">
        <v>92</v>
      </c>
      <c r="G39">
        <v>16.5</v>
      </c>
      <c r="H39">
        <v>16.5</v>
      </c>
      <c r="I39">
        <v>1</v>
      </c>
      <c r="J39">
        <v>0</v>
      </c>
      <c r="K39">
        <v>1</v>
      </c>
      <c r="L39">
        <v>24</v>
      </c>
      <c r="M39">
        <v>3</v>
      </c>
      <c r="N39">
        <v>0</v>
      </c>
      <c r="O39">
        <v>9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83</v>
      </c>
      <c r="Y39">
        <v>73</v>
      </c>
      <c r="Z39">
        <v>0</v>
      </c>
      <c r="AA39">
        <v>2</v>
      </c>
    </row>
    <row r="40" spans="1:27" x14ac:dyDescent="0.25">
      <c r="A40" t="s">
        <v>366</v>
      </c>
      <c r="B40" t="s">
        <v>79</v>
      </c>
      <c r="C40" t="s">
        <v>367</v>
      </c>
      <c r="D40" t="s">
        <v>4</v>
      </c>
      <c r="E40">
        <v>16</v>
      </c>
      <c r="F40" t="s">
        <v>81</v>
      </c>
      <c r="G40">
        <v>200.5</v>
      </c>
      <c r="H40">
        <v>66.83</v>
      </c>
      <c r="I40">
        <v>3</v>
      </c>
      <c r="J40">
        <v>3</v>
      </c>
      <c r="K40">
        <v>0</v>
      </c>
      <c r="L40">
        <v>136</v>
      </c>
      <c r="M40">
        <v>49</v>
      </c>
      <c r="N40">
        <v>0</v>
      </c>
      <c r="O40">
        <v>27</v>
      </c>
      <c r="P40">
        <v>4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47</v>
      </c>
      <c r="Y40">
        <v>69.83</v>
      </c>
      <c r="Z40">
        <v>31</v>
      </c>
      <c r="AA40">
        <v>2</v>
      </c>
    </row>
    <row r="41" spans="1:27" x14ac:dyDescent="0.25">
      <c r="A41" t="s">
        <v>340</v>
      </c>
      <c r="B41" t="s">
        <v>79</v>
      </c>
      <c r="C41" t="s">
        <v>341</v>
      </c>
      <c r="D41" t="s">
        <v>4</v>
      </c>
      <c r="E41">
        <v>8</v>
      </c>
      <c r="F41" t="s">
        <v>81</v>
      </c>
      <c r="G41">
        <v>257.5</v>
      </c>
      <c r="H41">
        <v>64.38</v>
      </c>
      <c r="I41">
        <v>4</v>
      </c>
      <c r="J41">
        <v>3</v>
      </c>
      <c r="K41">
        <v>1</v>
      </c>
      <c r="L41">
        <v>159</v>
      </c>
      <c r="M41">
        <v>52</v>
      </c>
      <c r="N41">
        <v>2</v>
      </c>
      <c r="O41">
        <v>36</v>
      </c>
      <c r="P41">
        <v>2</v>
      </c>
      <c r="Q41">
        <v>1</v>
      </c>
      <c r="R41">
        <v>1</v>
      </c>
      <c r="S41">
        <v>1</v>
      </c>
      <c r="T41">
        <v>1</v>
      </c>
      <c r="U41">
        <v>1</v>
      </c>
      <c r="V41">
        <v>1</v>
      </c>
      <c r="W41">
        <v>0</v>
      </c>
      <c r="X41">
        <v>38</v>
      </c>
      <c r="Y41">
        <v>70.5</v>
      </c>
      <c r="Z41">
        <v>326</v>
      </c>
      <c r="AA41">
        <v>2</v>
      </c>
    </row>
    <row r="42" spans="1:27" x14ac:dyDescent="0.25">
      <c r="A42" t="s">
        <v>354</v>
      </c>
      <c r="B42" t="s">
        <v>79</v>
      </c>
      <c r="C42" t="s">
        <v>355</v>
      </c>
      <c r="D42" t="s">
        <v>4</v>
      </c>
      <c r="E42">
        <v>16</v>
      </c>
      <c r="F42" t="s">
        <v>92</v>
      </c>
      <c r="G42">
        <v>57</v>
      </c>
      <c r="H42">
        <v>28.5</v>
      </c>
      <c r="I42">
        <v>2</v>
      </c>
      <c r="J42">
        <v>0</v>
      </c>
      <c r="K42">
        <v>2</v>
      </c>
      <c r="L42">
        <v>45</v>
      </c>
      <c r="M42">
        <v>14</v>
      </c>
      <c r="N42">
        <v>0</v>
      </c>
      <c r="O42">
        <v>11</v>
      </c>
      <c r="P42">
        <v>2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75.5</v>
      </c>
      <c r="Y42">
        <v>71.25</v>
      </c>
      <c r="Z42">
        <v>0</v>
      </c>
      <c r="AA42">
        <v>2</v>
      </c>
    </row>
    <row r="43" spans="1:27" x14ac:dyDescent="0.25">
      <c r="A43" t="s">
        <v>330</v>
      </c>
      <c r="B43" t="s">
        <v>79</v>
      </c>
      <c r="C43" t="s">
        <v>331</v>
      </c>
      <c r="D43" t="s">
        <v>4</v>
      </c>
      <c r="E43">
        <v>2</v>
      </c>
      <c r="F43" t="s">
        <v>81</v>
      </c>
      <c r="G43">
        <v>688</v>
      </c>
      <c r="H43">
        <v>62.55</v>
      </c>
      <c r="I43">
        <v>11</v>
      </c>
      <c r="J43">
        <v>9</v>
      </c>
      <c r="K43">
        <v>2</v>
      </c>
      <c r="L43">
        <v>419</v>
      </c>
      <c r="M43">
        <v>166</v>
      </c>
      <c r="N43">
        <v>4</v>
      </c>
      <c r="O43">
        <v>119</v>
      </c>
      <c r="P43">
        <v>10</v>
      </c>
      <c r="Q43">
        <v>2</v>
      </c>
      <c r="R43">
        <v>2</v>
      </c>
      <c r="S43">
        <v>3</v>
      </c>
      <c r="T43">
        <v>0</v>
      </c>
      <c r="U43">
        <v>0</v>
      </c>
      <c r="V43">
        <v>0</v>
      </c>
      <c r="W43">
        <v>0</v>
      </c>
      <c r="X43">
        <v>44</v>
      </c>
      <c r="Y43">
        <v>70.67</v>
      </c>
      <c r="Z43">
        <v>311</v>
      </c>
      <c r="AA43">
        <v>2</v>
      </c>
    </row>
    <row r="44" spans="1:27" x14ac:dyDescent="0.25">
      <c r="A44" t="s">
        <v>344</v>
      </c>
      <c r="B44" t="s">
        <v>79</v>
      </c>
      <c r="C44" t="s">
        <v>345</v>
      </c>
      <c r="D44" t="s">
        <v>4</v>
      </c>
      <c r="E44">
        <v>11</v>
      </c>
      <c r="F44" t="s">
        <v>92</v>
      </c>
      <c r="G44">
        <v>170.5</v>
      </c>
      <c r="H44">
        <v>56.83</v>
      </c>
      <c r="I44">
        <v>3</v>
      </c>
      <c r="J44">
        <v>1</v>
      </c>
      <c r="K44">
        <v>2</v>
      </c>
      <c r="L44">
        <v>89</v>
      </c>
      <c r="M44">
        <v>42</v>
      </c>
      <c r="N44">
        <v>2</v>
      </c>
      <c r="O44">
        <v>24</v>
      </c>
      <c r="P44">
        <v>5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59</v>
      </c>
      <c r="Y44">
        <v>70.44</v>
      </c>
      <c r="Z44">
        <v>11</v>
      </c>
      <c r="AA44">
        <v>2</v>
      </c>
    </row>
    <row r="45" spans="1:27" x14ac:dyDescent="0.25">
      <c r="A45" t="s">
        <v>332</v>
      </c>
      <c r="B45" t="s">
        <v>79</v>
      </c>
      <c r="C45" t="s">
        <v>333</v>
      </c>
      <c r="D45" t="s">
        <v>4</v>
      </c>
      <c r="E45">
        <v>13</v>
      </c>
      <c r="F45" t="s">
        <v>92</v>
      </c>
      <c r="G45">
        <v>481</v>
      </c>
      <c r="H45">
        <v>60.12</v>
      </c>
      <c r="I45">
        <v>8</v>
      </c>
      <c r="J45">
        <v>5</v>
      </c>
      <c r="K45">
        <v>3</v>
      </c>
      <c r="L45">
        <v>290</v>
      </c>
      <c r="M45">
        <v>114</v>
      </c>
      <c r="N45">
        <v>2</v>
      </c>
      <c r="O45">
        <v>54</v>
      </c>
      <c r="P45">
        <v>8</v>
      </c>
      <c r="Q45">
        <v>0</v>
      </c>
      <c r="R45">
        <v>0</v>
      </c>
      <c r="S45">
        <v>3</v>
      </c>
      <c r="T45">
        <v>0</v>
      </c>
      <c r="U45">
        <v>0</v>
      </c>
      <c r="V45">
        <v>0</v>
      </c>
      <c r="W45">
        <v>0</v>
      </c>
      <c r="X45">
        <v>49.1</v>
      </c>
      <c r="Y45">
        <v>69.08</v>
      </c>
      <c r="Z45">
        <v>122</v>
      </c>
      <c r="AA45">
        <v>2</v>
      </c>
    </row>
    <row r="46" spans="1:27" x14ac:dyDescent="0.25">
      <c r="A46" t="s">
        <v>312</v>
      </c>
      <c r="B46" t="s">
        <v>79</v>
      </c>
      <c r="C46" t="s">
        <v>313</v>
      </c>
      <c r="D46" t="s">
        <v>2</v>
      </c>
      <c r="E46">
        <v>15</v>
      </c>
      <c r="F46" t="s">
        <v>92</v>
      </c>
      <c r="G46">
        <v>168</v>
      </c>
      <c r="H46">
        <v>56</v>
      </c>
      <c r="I46">
        <v>3</v>
      </c>
      <c r="J46">
        <v>1</v>
      </c>
      <c r="K46">
        <v>2</v>
      </c>
      <c r="L46">
        <v>104</v>
      </c>
      <c r="M46">
        <v>38</v>
      </c>
      <c r="N46">
        <v>1</v>
      </c>
      <c r="O46">
        <v>14</v>
      </c>
      <c r="P46">
        <v>5</v>
      </c>
      <c r="Q46">
        <v>0</v>
      </c>
      <c r="R46">
        <v>0</v>
      </c>
      <c r="S46">
        <v>1</v>
      </c>
      <c r="T46">
        <v>0</v>
      </c>
      <c r="U46">
        <v>0</v>
      </c>
      <c r="V46">
        <v>0</v>
      </c>
      <c r="W46">
        <v>0</v>
      </c>
      <c r="X46">
        <v>49</v>
      </c>
      <c r="Y46">
        <v>69.11</v>
      </c>
      <c r="Z46">
        <v>55</v>
      </c>
      <c r="AA46">
        <v>4</v>
      </c>
    </row>
    <row r="47" spans="1:27" x14ac:dyDescent="0.25">
      <c r="A47" t="s">
        <v>298</v>
      </c>
      <c r="B47" t="s">
        <v>79</v>
      </c>
      <c r="C47" t="s">
        <v>299</v>
      </c>
      <c r="D47" t="s">
        <v>2</v>
      </c>
      <c r="E47">
        <v>4</v>
      </c>
      <c r="F47" t="s">
        <v>81</v>
      </c>
      <c r="G47">
        <v>869</v>
      </c>
      <c r="H47">
        <v>72.42</v>
      </c>
      <c r="I47">
        <v>12</v>
      </c>
      <c r="J47">
        <v>10</v>
      </c>
      <c r="K47">
        <v>2</v>
      </c>
      <c r="L47">
        <v>441</v>
      </c>
      <c r="M47">
        <v>199</v>
      </c>
      <c r="N47">
        <v>5</v>
      </c>
      <c r="O47">
        <v>113</v>
      </c>
      <c r="P47">
        <v>14</v>
      </c>
      <c r="Q47">
        <v>2</v>
      </c>
      <c r="R47">
        <v>2</v>
      </c>
      <c r="S47">
        <v>7</v>
      </c>
      <c r="T47">
        <v>4</v>
      </c>
      <c r="U47">
        <v>3</v>
      </c>
      <c r="V47">
        <v>2</v>
      </c>
      <c r="W47">
        <v>0</v>
      </c>
      <c r="X47">
        <v>32.6</v>
      </c>
      <c r="Y47">
        <v>69.84</v>
      </c>
      <c r="Z47" s="6">
        <v>1201</v>
      </c>
      <c r="AA47">
        <v>4</v>
      </c>
    </row>
    <row r="48" spans="1:27" x14ac:dyDescent="0.25">
      <c r="A48" t="s">
        <v>152</v>
      </c>
      <c r="B48" t="s">
        <v>79</v>
      </c>
      <c r="C48" t="s">
        <v>153</v>
      </c>
      <c r="D48" t="s">
        <v>2</v>
      </c>
      <c r="E48">
        <v>8</v>
      </c>
      <c r="F48" t="s">
        <v>103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4</v>
      </c>
    </row>
    <row r="49" spans="1:27" x14ac:dyDescent="0.25">
      <c r="A49" t="s">
        <v>302</v>
      </c>
      <c r="B49" t="s">
        <v>79</v>
      </c>
      <c r="C49" t="s">
        <v>303</v>
      </c>
      <c r="D49" t="s">
        <v>2</v>
      </c>
      <c r="E49">
        <v>9</v>
      </c>
      <c r="F49" t="s">
        <v>92</v>
      </c>
      <c r="G49">
        <v>519</v>
      </c>
      <c r="H49">
        <v>74.14</v>
      </c>
      <c r="I49">
        <v>7</v>
      </c>
      <c r="J49">
        <v>7</v>
      </c>
      <c r="K49">
        <v>0</v>
      </c>
      <c r="L49">
        <v>315</v>
      </c>
      <c r="M49">
        <v>119</v>
      </c>
      <c r="N49">
        <v>2</v>
      </c>
      <c r="O49">
        <v>61</v>
      </c>
      <c r="P49">
        <v>7</v>
      </c>
      <c r="Q49">
        <v>0</v>
      </c>
      <c r="R49">
        <v>0</v>
      </c>
      <c r="S49">
        <v>3</v>
      </c>
      <c r="T49">
        <v>1</v>
      </c>
      <c r="U49">
        <v>0</v>
      </c>
      <c r="V49">
        <v>0</v>
      </c>
      <c r="W49">
        <v>0</v>
      </c>
      <c r="X49">
        <v>28.9</v>
      </c>
      <c r="Y49">
        <v>69.290000000000006</v>
      </c>
      <c r="Z49">
        <v>813</v>
      </c>
      <c r="AA49">
        <v>4</v>
      </c>
    </row>
    <row r="50" spans="1:27" x14ac:dyDescent="0.25">
      <c r="A50" t="s">
        <v>326</v>
      </c>
      <c r="B50" t="s">
        <v>79</v>
      </c>
      <c r="C50" t="s">
        <v>327</v>
      </c>
      <c r="D50" t="s">
        <v>2</v>
      </c>
      <c r="E50">
        <v>14</v>
      </c>
      <c r="F50" t="s">
        <v>103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4</v>
      </c>
    </row>
    <row r="51" spans="1:27" x14ac:dyDescent="0.25">
      <c r="A51" t="s">
        <v>310</v>
      </c>
      <c r="B51" t="s">
        <v>79</v>
      </c>
      <c r="C51" t="s">
        <v>311</v>
      </c>
      <c r="D51" t="s">
        <v>2</v>
      </c>
      <c r="E51">
        <v>16</v>
      </c>
      <c r="F51" t="s">
        <v>92</v>
      </c>
      <c r="G51">
        <v>250.5</v>
      </c>
      <c r="H51">
        <v>41.75</v>
      </c>
      <c r="I51">
        <v>6</v>
      </c>
      <c r="J51">
        <v>2</v>
      </c>
      <c r="K51">
        <v>4</v>
      </c>
      <c r="L51">
        <v>190</v>
      </c>
      <c r="M51">
        <v>50</v>
      </c>
      <c r="N51">
        <v>3</v>
      </c>
      <c r="O51">
        <v>41</v>
      </c>
      <c r="P51">
        <v>4</v>
      </c>
      <c r="Q51">
        <v>0</v>
      </c>
      <c r="R51">
        <v>0</v>
      </c>
      <c r="S51">
        <v>1</v>
      </c>
      <c r="T51">
        <v>0</v>
      </c>
      <c r="U51">
        <v>0</v>
      </c>
      <c r="V51">
        <v>0</v>
      </c>
      <c r="W51">
        <v>0</v>
      </c>
      <c r="X51">
        <v>61.2</v>
      </c>
      <c r="Y51">
        <v>70.56</v>
      </c>
      <c r="Z51">
        <v>50</v>
      </c>
      <c r="AA51">
        <v>4</v>
      </c>
    </row>
    <row r="52" spans="1:27" x14ac:dyDescent="0.25">
      <c r="A52" t="s">
        <v>294</v>
      </c>
      <c r="B52" t="s">
        <v>79</v>
      </c>
      <c r="C52" t="s">
        <v>295</v>
      </c>
      <c r="D52" t="s">
        <v>2</v>
      </c>
      <c r="E52">
        <v>7</v>
      </c>
      <c r="F52" t="s">
        <v>81</v>
      </c>
      <c r="G52">
        <v>909</v>
      </c>
      <c r="H52">
        <v>69.92</v>
      </c>
      <c r="I52">
        <v>13</v>
      </c>
      <c r="J52">
        <v>10</v>
      </c>
      <c r="K52">
        <v>3</v>
      </c>
      <c r="L52">
        <v>492</v>
      </c>
      <c r="M52">
        <v>199</v>
      </c>
      <c r="N52">
        <v>3</v>
      </c>
      <c r="O52">
        <v>104</v>
      </c>
      <c r="P52">
        <v>11</v>
      </c>
      <c r="Q52">
        <v>1</v>
      </c>
      <c r="R52">
        <v>1</v>
      </c>
      <c r="S52">
        <v>7</v>
      </c>
      <c r="T52">
        <v>3</v>
      </c>
      <c r="U52">
        <v>3</v>
      </c>
      <c r="V52">
        <v>3</v>
      </c>
      <c r="W52">
        <v>1</v>
      </c>
      <c r="X52">
        <v>34.9</v>
      </c>
      <c r="Y52">
        <v>69.56</v>
      </c>
      <c r="Z52" s="6">
        <v>1083</v>
      </c>
      <c r="AA52">
        <v>4</v>
      </c>
    </row>
    <row r="53" spans="1:27" x14ac:dyDescent="0.25">
      <c r="A53" t="s">
        <v>320</v>
      </c>
      <c r="B53" t="s">
        <v>79</v>
      </c>
      <c r="C53" t="s">
        <v>321</v>
      </c>
      <c r="D53" t="s">
        <v>2</v>
      </c>
      <c r="E53">
        <v>16</v>
      </c>
      <c r="F53" t="s">
        <v>92</v>
      </c>
      <c r="G53">
        <v>126.5</v>
      </c>
      <c r="H53">
        <v>42.17</v>
      </c>
      <c r="I53">
        <v>3</v>
      </c>
      <c r="J53">
        <v>1</v>
      </c>
      <c r="K53">
        <v>2</v>
      </c>
      <c r="L53">
        <v>83</v>
      </c>
      <c r="M53">
        <v>33</v>
      </c>
      <c r="N53">
        <v>0</v>
      </c>
      <c r="O53">
        <v>24</v>
      </c>
      <c r="P53">
        <v>4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57.3</v>
      </c>
      <c r="Y53">
        <v>70.88</v>
      </c>
      <c r="Z53">
        <v>18</v>
      </c>
      <c r="AA53">
        <v>4</v>
      </c>
    </row>
    <row r="54" spans="1:27" x14ac:dyDescent="0.25">
      <c r="A54" t="s">
        <v>316</v>
      </c>
      <c r="B54" t="s">
        <v>79</v>
      </c>
      <c r="C54" t="s">
        <v>317</v>
      </c>
      <c r="D54" t="s">
        <v>2</v>
      </c>
      <c r="E54">
        <v>6</v>
      </c>
      <c r="F54" t="s">
        <v>92</v>
      </c>
      <c r="G54">
        <v>98.5</v>
      </c>
      <c r="H54">
        <v>49.25</v>
      </c>
      <c r="I54">
        <v>2</v>
      </c>
      <c r="J54">
        <v>1</v>
      </c>
      <c r="K54">
        <v>1</v>
      </c>
      <c r="L54">
        <v>74</v>
      </c>
      <c r="M54">
        <v>17</v>
      </c>
      <c r="N54">
        <v>2</v>
      </c>
      <c r="O54">
        <v>13</v>
      </c>
      <c r="P54">
        <v>2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54.5</v>
      </c>
      <c r="Y54">
        <v>70</v>
      </c>
      <c r="Z54">
        <v>21</v>
      </c>
      <c r="AA54">
        <v>4</v>
      </c>
    </row>
    <row r="55" spans="1:27" x14ac:dyDescent="0.25">
      <c r="A55" t="s">
        <v>314</v>
      </c>
      <c r="B55" t="s">
        <v>79</v>
      </c>
      <c r="C55" t="s">
        <v>315</v>
      </c>
      <c r="D55" t="s">
        <v>2</v>
      </c>
      <c r="E55">
        <v>13</v>
      </c>
      <c r="F55" t="s">
        <v>92</v>
      </c>
      <c r="G55">
        <v>232.5</v>
      </c>
      <c r="H55">
        <v>46.5</v>
      </c>
      <c r="I55">
        <v>5</v>
      </c>
      <c r="J55">
        <v>2</v>
      </c>
      <c r="K55">
        <v>3</v>
      </c>
      <c r="L55">
        <v>156</v>
      </c>
      <c r="M55">
        <v>57</v>
      </c>
      <c r="N55">
        <v>0</v>
      </c>
      <c r="O55">
        <v>33</v>
      </c>
      <c r="P55">
        <v>6</v>
      </c>
      <c r="Q55">
        <v>0</v>
      </c>
      <c r="R55">
        <v>0</v>
      </c>
      <c r="S55">
        <v>1</v>
      </c>
      <c r="T55">
        <v>0</v>
      </c>
      <c r="U55">
        <v>0</v>
      </c>
      <c r="V55">
        <v>0</v>
      </c>
      <c r="W55">
        <v>0</v>
      </c>
      <c r="X55">
        <v>56.8</v>
      </c>
      <c r="Y55">
        <v>70.430000000000007</v>
      </c>
      <c r="Z55">
        <v>54</v>
      </c>
      <c r="AA55">
        <v>4</v>
      </c>
    </row>
    <row r="56" spans="1:27" x14ac:dyDescent="0.25">
      <c r="A56" t="s">
        <v>376</v>
      </c>
      <c r="B56" t="s">
        <v>79</v>
      </c>
      <c r="C56" t="s">
        <v>377</v>
      </c>
      <c r="D56" t="s">
        <v>2</v>
      </c>
      <c r="E56">
        <v>16</v>
      </c>
      <c r="F56" t="s">
        <v>92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4</v>
      </c>
    </row>
    <row r="57" spans="1:27" x14ac:dyDescent="0.25">
      <c r="A57" t="s">
        <v>322</v>
      </c>
      <c r="B57" t="s">
        <v>79</v>
      </c>
      <c r="C57" t="s">
        <v>323</v>
      </c>
      <c r="D57" t="s">
        <v>2</v>
      </c>
      <c r="E57">
        <v>5</v>
      </c>
      <c r="F57" t="s">
        <v>92</v>
      </c>
      <c r="G57">
        <v>306.5</v>
      </c>
      <c r="H57">
        <v>61.3</v>
      </c>
      <c r="I57">
        <v>5</v>
      </c>
      <c r="J57">
        <v>4</v>
      </c>
      <c r="K57">
        <v>1</v>
      </c>
      <c r="L57">
        <v>198</v>
      </c>
      <c r="M57">
        <v>72</v>
      </c>
      <c r="N57">
        <v>0</v>
      </c>
      <c r="O57">
        <v>47</v>
      </c>
      <c r="P57">
        <v>7</v>
      </c>
      <c r="Q57">
        <v>0</v>
      </c>
      <c r="R57">
        <v>0</v>
      </c>
      <c r="S57">
        <v>2</v>
      </c>
      <c r="T57">
        <v>1</v>
      </c>
      <c r="U57">
        <v>1</v>
      </c>
      <c r="V57">
        <v>0</v>
      </c>
      <c r="W57">
        <v>0</v>
      </c>
      <c r="X57">
        <v>33.4</v>
      </c>
      <c r="Y57">
        <v>70.61</v>
      </c>
      <c r="Z57">
        <v>183</v>
      </c>
      <c r="AA57">
        <v>4</v>
      </c>
    </row>
    <row r="58" spans="1:27" x14ac:dyDescent="0.25">
      <c r="A58" t="s">
        <v>306</v>
      </c>
      <c r="B58" t="s">
        <v>79</v>
      </c>
      <c r="C58" t="s">
        <v>307</v>
      </c>
      <c r="D58" t="s">
        <v>2</v>
      </c>
      <c r="E58">
        <v>16</v>
      </c>
      <c r="F58" t="s">
        <v>81</v>
      </c>
      <c r="G58">
        <v>400.5</v>
      </c>
      <c r="H58">
        <v>57.21</v>
      </c>
      <c r="I58">
        <v>7</v>
      </c>
      <c r="J58">
        <v>6</v>
      </c>
      <c r="K58">
        <v>1</v>
      </c>
      <c r="L58">
        <v>279</v>
      </c>
      <c r="M58">
        <v>90</v>
      </c>
      <c r="N58">
        <v>1</v>
      </c>
      <c r="O58">
        <v>70</v>
      </c>
      <c r="P58">
        <v>8</v>
      </c>
      <c r="Q58">
        <v>2</v>
      </c>
      <c r="R58">
        <v>2</v>
      </c>
      <c r="S58">
        <v>2</v>
      </c>
      <c r="T58">
        <v>1</v>
      </c>
      <c r="U58">
        <v>1</v>
      </c>
      <c r="V58">
        <v>1</v>
      </c>
      <c r="W58">
        <v>0</v>
      </c>
      <c r="X58">
        <v>40.700000000000003</v>
      </c>
      <c r="Y58">
        <v>71.52</v>
      </c>
      <c r="Z58">
        <v>548</v>
      </c>
      <c r="AA58">
        <v>4</v>
      </c>
    </row>
    <row r="59" spans="1:27" x14ac:dyDescent="0.25">
      <c r="A59" t="s">
        <v>300</v>
      </c>
      <c r="B59" t="s">
        <v>79</v>
      </c>
      <c r="C59" t="s">
        <v>301</v>
      </c>
      <c r="D59" t="s">
        <v>2</v>
      </c>
      <c r="E59">
        <v>2</v>
      </c>
      <c r="F59" t="s">
        <v>81</v>
      </c>
      <c r="G59">
        <v>813</v>
      </c>
      <c r="H59">
        <v>81.3</v>
      </c>
      <c r="I59">
        <v>10</v>
      </c>
      <c r="J59">
        <v>8</v>
      </c>
      <c r="K59">
        <v>2</v>
      </c>
      <c r="L59">
        <v>367</v>
      </c>
      <c r="M59">
        <v>157</v>
      </c>
      <c r="N59">
        <v>11</v>
      </c>
      <c r="O59">
        <v>83</v>
      </c>
      <c r="P59">
        <v>12</v>
      </c>
      <c r="Q59">
        <v>0</v>
      </c>
      <c r="R59">
        <v>0</v>
      </c>
      <c r="S59">
        <v>4</v>
      </c>
      <c r="T59">
        <v>4</v>
      </c>
      <c r="U59">
        <v>4</v>
      </c>
      <c r="V59">
        <v>4</v>
      </c>
      <c r="W59">
        <v>1</v>
      </c>
      <c r="X59">
        <v>27.8</v>
      </c>
      <c r="Y59">
        <v>69.31</v>
      </c>
      <c r="Z59" s="6">
        <v>1860</v>
      </c>
      <c r="AA59">
        <v>4</v>
      </c>
    </row>
    <row r="60" spans="1:27" x14ac:dyDescent="0.25">
      <c r="A60" t="s">
        <v>318</v>
      </c>
      <c r="B60" t="s">
        <v>79</v>
      </c>
      <c r="C60" t="s">
        <v>319</v>
      </c>
      <c r="D60" t="s">
        <v>2</v>
      </c>
      <c r="E60">
        <v>16</v>
      </c>
      <c r="F60" t="s">
        <v>92</v>
      </c>
      <c r="G60">
        <v>225.5</v>
      </c>
      <c r="H60">
        <v>45.1</v>
      </c>
      <c r="I60">
        <v>5</v>
      </c>
      <c r="J60">
        <v>2</v>
      </c>
      <c r="K60">
        <v>3</v>
      </c>
      <c r="L60">
        <v>163</v>
      </c>
      <c r="M60">
        <v>47</v>
      </c>
      <c r="N60">
        <v>2</v>
      </c>
      <c r="O60">
        <v>36</v>
      </c>
      <c r="P60">
        <v>4</v>
      </c>
      <c r="Q60">
        <v>0</v>
      </c>
      <c r="R60">
        <v>0</v>
      </c>
      <c r="S60">
        <v>1</v>
      </c>
      <c r="T60">
        <v>1</v>
      </c>
      <c r="U60">
        <v>0</v>
      </c>
      <c r="V60">
        <v>0</v>
      </c>
      <c r="W60">
        <v>0</v>
      </c>
      <c r="X60">
        <v>61.4</v>
      </c>
      <c r="Y60">
        <v>70.5</v>
      </c>
      <c r="Z60">
        <v>78</v>
      </c>
      <c r="AA60">
        <v>4</v>
      </c>
    </row>
    <row r="61" spans="1:27" x14ac:dyDescent="0.25">
      <c r="A61" t="s">
        <v>324</v>
      </c>
      <c r="B61" t="s">
        <v>79</v>
      </c>
      <c r="C61" t="s">
        <v>325</v>
      </c>
      <c r="D61" t="s">
        <v>2</v>
      </c>
      <c r="E61">
        <v>12</v>
      </c>
      <c r="F61" t="s">
        <v>103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4</v>
      </c>
    </row>
    <row r="62" spans="1:27" x14ac:dyDescent="0.25">
      <c r="A62" t="s">
        <v>308</v>
      </c>
      <c r="B62" t="s">
        <v>79</v>
      </c>
      <c r="C62" t="s">
        <v>309</v>
      </c>
      <c r="D62" t="s">
        <v>2</v>
      </c>
      <c r="E62">
        <v>1</v>
      </c>
      <c r="F62" t="s">
        <v>81</v>
      </c>
      <c r="G62">
        <v>199.5</v>
      </c>
      <c r="H62">
        <v>49.88</v>
      </c>
      <c r="I62">
        <v>4</v>
      </c>
      <c r="J62">
        <v>3</v>
      </c>
      <c r="K62">
        <v>1</v>
      </c>
      <c r="L62">
        <v>140</v>
      </c>
      <c r="M62">
        <v>49</v>
      </c>
      <c r="N62">
        <v>0</v>
      </c>
      <c r="O62">
        <v>41</v>
      </c>
      <c r="P62">
        <v>3</v>
      </c>
      <c r="Q62">
        <v>1</v>
      </c>
      <c r="R62">
        <v>1</v>
      </c>
      <c r="S62">
        <v>1</v>
      </c>
      <c r="T62">
        <v>0</v>
      </c>
      <c r="U62">
        <v>0</v>
      </c>
      <c r="V62">
        <v>0</v>
      </c>
      <c r="W62">
        <v>0</v>
      </c>
      <c r="X62">
        <v>43.3</v>
      </c>
      <c r="Y62">
        <v>71.77</v>
      </c>
      <c r="Z62">
        <v>124</v>
      </c>
      <c r="AA62">
        <v>4</v>
      </c>
    </row>
    <row r="63" spans="1:27" x14ac:dyDescent="0.25">
      <c r="A63" t="s">
        <v>146</v>
      </c>
      <c r="B63" t="s">
        <v>79</v>
      </c>
      <c r="C63" t="s">
        <v>147</v>
      </c>
      <c r="D63" t="s">
        <v>2</v>
      </c>
      <c r="E63">
        <v>11</v>
      </c>
      <c r="F63" t="s">
        <v>103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4</v>
      </c>
    </row>
    <row r="64" spans="1:27" x14ac:dyDescent="0.25">
      <c r="A64" t="s">
        <v>296</v>
      </c>
      <c r="B64" t="s">
        <v>79</v>
      </c>
      <c r="C64" t="s">
        <v>297</v>
      </c>
      <c r="D64" t="s">
        <v>2</v>
      </c>
      <c r="E64">
        <v>3</v>
      </c>
      <c r="F64" t="s">
        <v>81</v>
      </c>
      <c r="G64">
        <v>737.5</v>
      </c>
      <c r="H64">
        <v>56.73</v>
      </c>
      <c r="I64">
        <v>13</v>
      </c>
      <c r="J64">
        <v>9</v>
      </c>
      <c r="K64">
        <v>4</v>
      </c>
      <c r="L64">
        <v>482</v>
      </c>
      <c r="M64">
        <v>167</v>
      </c>
      <c r="N64">
        <v>4</v>
      </c>
      <c r="O64">
        <v>105</v>
      </c>
      <c r="P64">
        <v>15</v>
      </c>
      <c r="Q64">
        <v>1</v>
      </c>
      <c r="R64">
        <v>1</v>
      </c>
      <c r="S64">
        <v>5</v>
      </c>
      <c r="T64">
        <v>1</v>
      </c>
      <c r="U64">
        <v>0</v>
      </c>
      <c r="V64">
        <v>0</v>
      </c>
      <c r="W64">
        <v>0</v>
      </c>
      <c r="X64">
        <v>42.4</v>
      </c>
      <c r="Y64">
        <v>70.53</v>
      </c>
      <c r="Z64">
        <v>516</v>
      </c>
      <c r="AA64">
        <v>4</v>
      </c>
    </row>
    <row r="65" spans="1:27" x14ac:dyDescent="0.25">
      <c r="A65" t="s">
        <v>304</v>
      </c>
      <c r="B65" t="s">
        <v>79</v>
      </c>
      <c r="C65" t="s">
        <v>305</v>
      </c>
      <c r="D65" t="s">
        <v>2</v>
      </c>
      <c r="E65">
        <v>10</v>
      </c>
      <c r="F65" t="s">
        <v>92</v>
      </c>
      <c r="G65">
        <v>476.5</v>
      </c>
      <c r="H65">
        <v>79.42</v>
      </c>
      <c r="I65">
        <v>6</v>
      </c>
      <c r="J65">
        <v>5</v>
      </c>
      <c r="K65">
        <v>1</v>
      </c>
      <c r="L65">
        <v>231</v>
      </c>
      <c r="M65">
        <v>101</v>
      </c>
      <c r="N65">
        <v>8</v>
      </c>
      <c r="O65">
        <v>52</v>
      </c>
      <c r="P65">
        <v>4</v>
      </c>
      <c r="Q65">
        <v>0</v>
      </c>
      <c r="R65">
        <v>0</v>
      </c>
      <c r="S65">
        <v>3</v>
      </c>
      <c r="T65">
        <v>1</v>
      </c>
      <c r="U65">
        <v>0</v>
      </c>
      <c r="V65">
        <v>0</v>
      </c>
      <c r="W65">
        <v>0</v>
      </c>
      <c r="X65">
        <v>31.2</v>
      </c>
      <c r="Y65">
        <v>68.680000000000007</v>
      </c>
      <c r="Z65">
        <v>210</v>
      </c>
      <c r="AA65">
        <v>4</v>
      </c>
    </row>
    <row r="66" spans="1:27" x14ac:dyDescent="0.25">
      <c r="A66" t="s">
        <v>262</v>
      </c>
      <c r="B66" t="s">
        <v>79</v>
      </c>
      <c r="C66" t="s">
        <v>263</v>
      </c>
      <c r="D66" t="s">
        <v>7</v>
      </c>
      <c r="E66">
        <v>3</v>
      </c>
      <c r="F66" t="s">
        <v>92</v>
      </c>
      <c r="G66">
        <v>771</v>
      </c>
      <c r="H66">
        <v>70.09</v>
      </c>
      <c r="I66">
        <v>11</v>
      </c>
      <c r="J66">
        <v>10</v>
      </c>
      <c r="K66">
        <v>1</v>
      </c>
      <c r="L66">
        <v>446</v>
      </c>
      <c r="M66">
        <v>171</v>
      </c>
      <c r="N66">
        <v>5</v>
      </c>
      <c r="O66">
        <v>102</v>
      </c>
      <c r="P66">
        <v>14</v>
      </c>
      <c r="Q66">
        <v>0</v>
      </c>
      <c r="R66">
        <v>0</v>
      </c>
      <c r="S66">
        <v>6</v>
      </c>
      <c r="T66">
        <v>2</v>
      </c>
      <c r="U66">
        <v>1</v>
      </c>
      <c r="V66">
        <v>1</v>
      </c>
      <c r="W66">
        <v>0</v>
      </c>
      <c r="X66">
        <v>32.200000000000003</v>
      </c>
      <c r="Y66">
        <v>70.12</v>
      </c>
      <c r="Z66">
        <v>622</v>
      </c>
      <c r="AA66">
        <v>8</v>
      </c>
    </row>
    <row r="67" spans="1:27" x14ac:dyDescent="0.25">
      <c r="A67" t="s">
        <v>264</v>
      </c>
      <c r="B67" t="s">
        <v>79</v>
      </c>
      <c r="C67" t="s">
        <v>265</v>
      </c>
      <c r="D67" t="s">
        <v>7</v>
      </c>
      <c r="E67">
        <v>2</v>
      </c>
      <c r="F67" t="s">
        <v>81</v>
      </c>
      <c r="G67">
        <v>517.5</v>
      </c>
      <c r="H67">
        <v>51.75</v>
      </c>
      <c r="I67">
        <v>10</v>
      </c>
      <c r="J67">
        <v>7</v>
      </c>
      <c r="K67">
        <v>3</v>
      </c>
      <c r="L67">
        <v>395</v>
      </c>
      <c r="M67">
        <v>118</v>
      </c>
      <c r="N67">
        <v>1</v>
      </c>
      <c r="O67">
        <v>84</v>
      </c>
      <c r="P67">
        <v>13</v>
      </c>
      <c r="Q67">
        <v>1</v>
      </c>
      <c r="R67">
        <v>1</v>
      </c>
      <c r="S67">
        <v>1</v>
      </c>
      <c r="T67">
        <v>0</v>
      </c>
      <c r="U67">
        <v>0</v>
      </c>
      <c r="V67">
        <v>0</v>
      </c>
      <c r="W67">
        <v>0</v>
      </c>
      <c r="X67">
        <v>49.9</v>
      </c>
      <c r="Y67">
        <v>71.38</v>
      </c>
      <c r="Z67">
        <v>206</v>
      </c>
      <c r="AA67">
        <v>8</v>
      </c>
    </row>
    <row r="68" spans="1:27" x14ac:dyDescent="0.25">
      <c r="A68" t="s">
        <v>276</v>
      </c>
      <c r="B68" t="s">
        <v>79</v>
      </c>
      <c r="C68" t="s">
        <v>277</v>
      </c>
      <c r="D68" t="s">
        <v>7</v>
      </c>
      <c r="E68">
        <v>6</v>
      </c>
      <c r="F68" t="s">
        <v>81</v>
      </c>
      <c r="G68">
        <v>507.5</v>
      </c>
      <c r="H68">
        <v>56.39</v>
      </c>
      <c r="I68">
        <v>9</v>
      </c>
      <c r="J68">
        <v>7</v>
      </c>
      <c r="K68">
        <v>2</v>
      </c>
      <c r="L68">
        <v>353</v>
      </c>
      <c r="M68">
        <v>116</v>
      </c>
      <c r="N68">
        <v>1</v>
      </c>
      <c r="O68">
        <v>80</v>
      </c>
      <c r="P68">
        <v>8</v>
      </c>
      <c r="Q68">
        <v>0</v>
      </c>
      <c r="R68">
        <v>0</v>
      </c>
      <c r="S68">
        <v>3</v>
      </c>
      <c r="T68">
        <v>0</v>
      </c>
      <c r="U68">
        <v>0</v>
      </c>
      <c r="V68">
        <v>0</v>
      </c>
      <c r="W68">
        <v>0</v>
      </c>
      <c r="X68">
        <v>39.9</v>
      </c>
      <c r="Y68">
        <v>70.650000000000006</v>
      </c>
      <c r="Z68">
        <v>370</v>
      </c>
      <c r="AA68">
        <v>8</v>
      </c>
    </row>
    <row r="69" spans="1:27" x14ac:dyDescent="0.25">
      <c r="A69" t="s">
        <v>292</v>
      </c>
      <c r="B69" t="s">
        <v>79</v>
      </c>
      <c r="C69" t="s">
        <v>293</v>
      </c>
      <c r="D69" t="s">
        <v>7</v>
      </c>
      <c r="E69">
        <v>7</v>
      </c>
      <c r="F69" t="s">
        <v>103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8</v>
      </c>
    </row>
    <row r="70" spans="1:27" x14ac:dyDescent="0.25">
      <c r="A70" t="s">
        <v>266</v>
      </c>
      <c r="B70" t="s">
        <v>79</v>
      </c>
      <c r="C70" t="s">
        <v>267</v>
      </c>
      <c r="D70" t="s">
        <v>7</v>
      </c>
      <c r="E70">
        <v>1</v>
      </c>
      <c r="F70" t="s">
        <v>81</v>
      </c>
      <c r="G70">
        <v>725</v>
      </c>
      <c r="H70">
        <v>80.56</v>
      </c>
      <c r="I70">
        <v>9</v>
      </c>
      <c r="J70">
        <v>9</v>
      </c>
      <c r="K70">
        <v>0</v>
      </c>
      <c r="L70">
        <v>392</v>
      </c>
      <c r="M70">
        <v>149</v>
      </c>
      <c r="N70">
        <v>5</v>
      </c>
      <c r="O70">
        <v>70</v>
      </c>
      <c r="P70">
        <v>11</v>
      </c>
      <c r="Q70">
        <v>3</v>
      </c>
      <c r="R70">
        <v>3</v>
      </c>
      <c r="S70">
        <v>7</v>
      </c>
      <c r="T70">
        <v>2</v>
      </c>
      <c r="U70">
        <v>2</v>
      </c>
      <c r="V70">
        <v>2</v>
      </c>
      <c r="W70">
        <v>1</v>
      </c>
      <c r="X70">
        <v>23.3</v>
      </c>
      <c r="Y70">
        <v>69.89</v>
      </c>
      <c r="Z70" s="6">
        <v>1276</v>
      </c>
      <c r="AA70">
        <v>8</v>
      </c>
    </row>
    <row r="71" spans="1:27" x14ac:dyDescent="0.25">
      <c r="A71" t="s">
        <v>284</v>
      </c>
      <c r="B71" t="s">
        <v>79</v>
      </c>
      <c r="C71" t="s">
        <v>285</v>
      </c>
      <c r="D71" t="s">
        <v>7</v>
      </c>
      <c r="E71">
        <v>4</v>
      </c>
      <c r="F71" t="s">
        <v>92</v>
      </c>
      <c r="G71">
        <v>382</v>
      </c>
      <c r="H71">
        <v>47.75</v>
      </c>
      <c r="I71">
        <v>8</v>
      </c>
      <c r="J71">
        <v>4</v>
      </c>
      <c r="K71">
        <v>4</v>
      </c>
      <c r="L71">
        <v>309</v>
      </c>
      <c r="M71">
        <v>79</v>
      </c>
      <c r="N71">
        <v>1</v>
      </c>
      <c r="O71">
        <v>53</v>
      </c>
      <c r="P71">
        <v>7</v>
      </c>
      <c r="Q71">
        <v>1</v>
      </c>
      <c r="R71">
        <v>1</v>
      </c>
      <c r="S71">
        <v>1</v>
      </c>
      <c r="T71">
        <v>1</v>
      </c>
      <c r="U71">
        <v>1</v>
      </c>
      <c r="V71">
        <v>0</v>
      </c>
      <c r="W71">
        <v>0</v>
      </c>
      <c r="X71">
        <v>54.5</v>
      </c>
      <c r="Y71">
        <v>70.680000000000007</v>
      </c>
      <c r="Z71">
        <v>135</v>
      </c>
      <c r="AA71">
        <v>8</v>
      </c>
    </row>
    <row r="72" spans="1:27" x14ac:dyDescent="0.25">
      <c r="A72" t="s">
        <v>268</v>
      </c>
      <c r="B72" t="s">
        <v>79</v>
      </c>
      <c r="C72" t="s">
        <v>269</v>
      </c>
      <c r="D72" t="s">
        <v>7</v>
      </c>
      <c r="E72">
        <v>5</v>
      </c>
      <c r="F72" t="s">
        <v>81</v>
      </c>
      <c r="G72">
        <v>596</v>
      </c>
      <c r="H72">
        <v>66.22</v>
      </c>
      <c r="I72">
        <v>9</v>
      </c>
      <c r="J72">
        <v>8</v>
      </c>
      <c r="K72">
        <v>1</v>
      </c>
      <c r="L72">
        <v>375</v>
      </c>
      <c r="M72">
        <v>124</v>
      </c>
      <c r="N72">
        <v>6</v>
      </c>
      <c r="O72">
        <v>83</v>
      </c>
      <c r="P72">
        <v>5</v>
      </c>
      <c r="Q72">
        <v>1</v>
      </c>
      <c r="R72">
        <v>1</v>
      </c>
      <c r="S72">
        <v>5</v>
      </c>
      <c r="T72">
        <v>1</v>
      </c>
      <c r="U72">
        <v>0</v>
      </c>
      <c r="V72">
        <v>0</v>
      </c>
      <c r="W72">
        <v>0</v>
      </c>
      <c r="X72">
        <v>27.3</v>
      </c>
      <c r="Y72">
        <v>70.3</v>
      </c>
      <c r="Z72">
        <v>461</v>
      </c>
      <c r="AA72">
        <v>8</v>
      </c>
    </row>
    <row r="73" spans="1:27" x14ac:dyDescent="0.25">
      <c r="A73" t="s">
        <v>280</v>
      </c>
      <c r="B73" t="s">
        <v>79</v>
      </c>
      <c r="C73" t="s">
        <v>281</v>
      </c>
      <c r="D73" t="s">
        <v>7</v>
      </c>
      <c r="E73">
        <v>9</v>
      </c>
      <c r="F73" t="s">
        <v>103</v>
      </c>
      <c r="G73">
        <v>194</v>
      </c>
      <c r="H73">
        <v>48.5</v>
      </c>
      <c r="I73">
        <v>4</v>
      </c>
      <c r="J73">
        <v>1</v>
      </c>
      <c r="K73">
        <v>3</v>
      </c>
      <c r="L73">
        <v>130</v>
      </c>
      <c r="M73">
        <v>42</v>
      </c>
      <c r="N73">
        <v>2</v>
      </c>
      <c r="O73">
        <v>20</v>
      </c>
      <c r="P73">
        <v>4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62.3</v>
      </c>
      <c r="Y73">
        <v>69.27</v>
      </c>
      <c r="Z73">
        <v>11</v>
      </c>
      <c r="AA73">
        <v>8</v>
      </c>
    </row>
    <row r="74" spans="1:27" x14ac:dyDescent="0.25">
      <c r="A74" t="s">
        <v>246</v>
      </c>
      <c r="B74" t="s">
        <v>79</v>
      </c>
      <c r="C74" t="s">
        <v>247</v>
      </c>
      <c r="D74" t="s">
        <v>7</v>
      </c>
      <c r="E74">
        <v>16</v>
      </c>
      <c r="F74" t="s">
        <v>81</v>
      </c>
      <c r="G74">
        <v>457.5</v>
      </c>
      <c r="H74">
        <v>76.25</v>
      </c>
      <c r="I74">
        <v>6</v>
      </c>
      <c r="J74">
        <v>6</v>
      </c>
      <c r="K74">
        <v>0</v>
      </c>
      <c r="L74">
        <v>285</v>
      </c>
      <c r="M74">
        <v>90</v>
      </c>
      <c r="N74">
        <v>4</v>
      </c>
      <c r="O74">
        <v>48</v>
      </c>
      <c r="P74">
        <v>5</v>
      </c>
      <c r="Q74">
        <v>0</v>
      </c>
      <c r="R74">
        <v>0</v>
      </c>
      <c r="S74">
        <v>3</v>
      </c>
      <c r="T74">
        <v>2</v>
      </c>
      <c r="U74">
        <v>1</v>
      </c>
      <c r="V74">
        <v>1</v>
      </c>
      <c r="W74">
        <v>0</v>
      </c>
      <c r="X74">
        <v>22.2</v>
      </c>
      <c r="Y74">
        <v>69.33</v>
      </c>
      <c r="Z74">
        <v>551</v>
      </c>
      <c r="AA74">
        <v>8</v>
      </c>
    </row>
    <row r="75" spans="1:27" x14ac:dyDescent="0.25">
      <c r="A75" t="s">
        <v>368</v>
      </c>
      <c r="B75" t="s">
        <v>79</v>
      </c>
      <c r="C75" t="s">
        <v>369</v>
      </c>
      <c r="D75" t="s">
        <v>7</v>
      </c>
      <c r="E75">
        <v>16</v>
      </c>
      <c r="F75" t="s">
        <v>92</v>
      </c>
      <c r="G75">
        <v>68</v>
      </c>
      <c r="H75">
        <v>68</v>
      </c>
      <c r="I75">
        <v>1</v>
      </c>
      <c r="J75">
        <v>1</v>
      </c>
      <c r="K75">
        <v>0</v>
      </c>
      <c r="L75">
        <v>50</v>
      </c>
      <c r="M75">
        <v>11</v>
      </c>
      <c r="N75">
        <v>1</v>
      </c>
      <c r="O75">
        <v>10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36</v>
      </c>
      <c r="Y75">
        <v>69.25</v>
      </c>
      <c r="Z75">
        <v>16</v>
      </c>
      <c r="AA75">
        <v>8</v>
      </c>
    </row>
    <row r="76" spans="1:27" x14ac:dyDescent="0.25">
      <c r="A76" t="s">
        <v>278</v>
      </c>
      <c r="B76" t="s">
        <v>79</v>
      </c>
      <c r="C76" t="s">
        <v>279</v>
      </c>
      <c r="D76" t="s">
        <v>7</v>
      </c>
      <c r="E76">
        <v>12</v>
      </c>
      <c r="F76" t="s">
        <v>92</v>
      </c>
      <c r="G76">
        <v>204.5</v>
      </c>
      <c r="H76">
        <v>68.17</v>
      </c>
      <c r="I76">
        <v>3</v>
      </c>
      <c r="J76">
        <v>3</v>
      </c>
      <c r="K76">
        <v>0</v>
      </c>
      <c r="L76">
        <v>135</v>
      </c>
      <c r="M76">
        <v>48</v>
      </c>
      <c r="N76">
        <v>1</v>
      </c>
      <c r="O76">
        <v>28</v>
      </c>
      <c r="P76">
        <v>3</v>
      </c>
      <c r="Q76">
        <v>1</v>
      </c>
      <c r="R76">
        <v>1</v>
      </c>
      <c r="S76">
        <v>0</v>
      </c>
      <c r="T76">
        <v>0</v>
      </c>
      <c r="U76">
        <v>0</v>
      </c>
      <c r="V76">
        <v>0</v>
      </c>
      <c r="W76">
        <v>0</v>
      </c>
      <c r="X76">
        <v>48.3</v>
      </c>
      <c r="Y76">
        <v>69.92</v>
      </c>
      <c r="Z76">
        <v>31</v>
      </c>
      <c r="AA76">
        <v>8</v>
      </c>
    </row>
    <row r="77" spans="1:27" x14ac:dyDescent="0.25">
      <c r="A77" t="s">
        <v>270</v>
      </c>
      <c r="B77" t="s">
        <v>79</v>
      </c>
      <c r="C77" t="s">
        <v>271</v>
      </c>
      <c r="D77" t="s">
        <v>7</v>
      </c>
      <c r="E77">
        <v>8</v>
      </c>
      <c r="F77" t="s">
        <v>92</v>
      </c>
      <c r="G77">
        <v>415.5</v>
      </c>
      <c r="H77">
        <v>46.17</v>
      </c>
      <c r="I77">
        <v>9</v>
      </c>
      <c r="J77">
        <v>4</v>
      </c>
      <c r="K77">
        <v>5</v>
      </c>
      <c r="L77">
        <v>301</v>
      </c>
      <c r="M77">
        <v>92</v>
      </c>
      <c r="N77">
        <v>3</v>
      </c>
      <c r="O77">
        <v>62</v>
      </c>
      <c r="P77">
        <v>7</v>
      </c>
      <c r="Q77">
        <v>3</v>
      </c>
      <c r="R77">
        <v>3</v>
      </c>
      <c r="S77">
        <v>1</v>
      </c>
      <c r="T77">
        <v>0</v>
      </c>
      <c r="U77">
        <v>0</v>
      </c>
      <c r="V77">
        <v>0</v>
      </c>
      <c r="W77">
        <v>0</v>
      </c>
      <c r="X77">
        <v>59.2</v>
      </c>
      <c r="Y77">
        <v>70.650000000000006</v>
      </c>
      <c r="Z77">
        <v>63</v>
      </c>
      <c r="AA77">
        <v>8</v>
      </c>
    </row>
    <row r="78" spans="1:27" x14ac:dyDescent="0.25">
      <c r="A78" t="s">
        <v>288</v>
      </c>
      <c r="B78" t="s">
        <v>79</v>
      </c>
      <c r="C78" t="s">
        <v>289</v>
      </c>
      <c r="D78" t="s">
        <v>7</v>
      </c>
      <c r="E78">
        <v>11</v>
      </c>
      <c r="F78" t="s">
        <v>92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8</v>
      </c>
    </row>
    <row r="79" spans="1:27" x14ac:dyDescent="0.25">
      <c r="A79" t="s">
        <v>286</v>
      </c>
      <c r="B79" t="s">
        <v>79</v>
      </c>
      <c r="C79" t="s">
        <v>287</v>
      </c>
      <c r="D79" t="s">
        <v>7</v>
      </c>
      <c r="E79">
        <v>14</v>
      </c>
      <c r="F79" t="s">
        <v>92</v>
      </c>
      <c r="G79">
        <v>114.5</v>
      </c>
      <c r="H79">
        <v>57.25</v>
      </c>
      <c r="I79">
        <v>2</v>
      </c>
      <c r="J79">
        <v>1</v>
      </c>
      <c r="K79">
        <v>1</v>
      </c>
      <c r="L79">
        <v>68</v>
      </c>
      <c r="M79">
        <v>23</v>
      </c>
      <c r="N79">
        <v>2</v>
      </c>
      <c r="O79">
        <v>13</v>
      </c>
      <c r="P79">
        <v>2</v>
      </c>
      <c r="Q79">
        <v>0</v>
      </c>
      <c r="R79">
        <v>0</v>
      </c>
      <c r="S79">
        <v>1</v>
      </c>
      <c r="T79">
        <v>0</v>
      </c>
      <c r="U79">
        <v>0</v>
      </c>
      <c r="V79">
        <v>0</v>
      </c>
      <c r="W79">
        <v>0</v>
      </c>
      <c r="X79">
        <v>53</v>
      </c>
      <c r="Y79">
        <v>69</v>
      </c>
      <c r="Z79">
        <v>31</v>
      </c>
      <c r="AA79">
        <v>8</v>
      </c>
    </row>
    <row r="80" spans="1:27" x14ac:dyDescent="0.25">
      <c r="A80" t="s">
        <v>282</v>
      </c>
      <c r="B80" t="s">
        <v>79</v>
      </c>
      <c r="C80" t="s">
        <v>283</v>
      </c>
      <c r="D80" t="s">
        <v>7</v>
      </c>
      <c r="E80">
        <v>13</v>
      </c>
      <c r="F80" t="s">
        <v>92</v>
      </c>
      <c r="G80">
        <v>169.5</v>
      </c>
      <c r="H80">
        <v>42.38</v>
      </c>
      <c r="I80">
        <v>4</v>
      </c>
      <c r="J80">
        <v>1</v>
      </c>
      <c r="K80">
        <v>3</v>
      </c>
      <c r="L80">
        <v>119</v>
      </c>
      <c r="M80">
        <v>40</v>
      </c>
      <c r="N80">
        <v>0</v>
      </c>
      <c r="O80">
        <v>18</v>
      </c>
      <c r="P80">
        <v>3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65.3</v>
      </c>
      <c r="Y80">
        <v>69.8</v>
      </c>
      <c r="Z80">
        <v>20</v>
      </c>
      <c r="AA80">
        <v>8</v>
      </c>
    </row>
    <row r="81" spans="1:27" x14ac:dyDescent="0.25">
      <c r="A81" t="s">
        <v>242</v>
      </c>
      <c r="B81" t="s">
        <v>79</v>
      </c>
      <c r="C81" t="s">
        <v>243</v>
      </c>
      <c r="D81" t="s">
        <v>7</v>
      </c>
      <c r="E81">
        <v>10</v>
      </c>
      <c r="F81" t="s">
        <v>103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8</v>
      </c>
    </row>
    <row r="82" spans="1:27" x14ac:dyDescent="0.25">
      <c r="A82" t="s">
        <v>272</v>
      </c>
      <c r="B82" t="s">
        <v>79</v>
      </c>
      <c r="C82" t="s">
        <v>273</v>
      </c>
      <c r="D82" t="s">
        <v>7</v>
      </c>
      <c r="E82">
        <v>16</v>
      </c>
      <c r="F82" t="s">
        <v>92</v>
      </c>
      <c r="G82">
        <v>385.5</v>
      </c>
      <c r="H82">
        <v>55.07</v>
      </c>
      <c r="I82">
        <v>7</v>
      </c>
      <c r="J82">
        <v>5</v>
      </c>
      <c r="K82">
        <v>2</v>
      </c>
      <c r="L82">
        <v>281</v>
      </c>
      <c r="M82">
        <v>80</v>
      </c>
      <c r="N82">
        <v>4</v>
      </c>
      <c r="O82">
        <v>62</v>
      </c>
      <c r="P82">
        <v>5</v>
      </c>
      <c r="Q82">
        <v>0</v>
      </c>
      <c r="R82">
        <v>0</v>
      </c>
      <c r="S82">
        <v>2</v>
      </c>
      <c r="T82">
        <v>0</v>
      </c>
      <c r="U82">
        <v>0</v>
      </c>
      <c r="V82">
        <v>0</v>
      </c>
      <c r="W82">
        <v>0</v>
      </c>
      <c r="X82">
        <v>52.9</v>
      </c>
      <c r="Y82">
        <v>70.58</v>
      </c>
      <c r="Z82">
        <v>77</v>
      </c>
      <c r="AA82">
        <v>8</v>
      </c>
    </row>
    <row r="83" spans="1:27" x14ac:dyDescent="0.25">
      <c r="A83" t="s">
        <v>274</v>
      </c>
      <c r="B83" t="s">
        <v>79</v>
      </c>
      <c r="C83" t="s">
        <v>275</v>
      </c>
      <c r="D83" t="s">
        <v>7</v>
      </c>
      <c r="E83">
        <v>16</v>
      </c>
      <c r="F83" t="s">
        <v>81</v>
      </c>
      <c r="G83">
        <v>469.5</v>
      </c>
      <c r="H83">
        <v>52.17</v>
      </c>
      <c r="I83">
        <v>9</v>
      </c>
      <c r="J83">
        <v>6</v>
      </c>
      <c r="K83">
        <v>3</v>
      </c>
      <c r="L83">
        <v>293</v>
      </c>
      <c r="M83">
        <v>112</v>
      </c>
      <c r="N83">
        <v>5</v>
      </c>
      <c r="O83">
        <v>92</v>
      </c>
      <c r="P83">
        <v>18</v>
      </c>
      <c r="Q83">
        <v>2</v>
      </c>
      <c r="R83">
        <v>2</v>
      </c>
      <c r="S83">
        <v>1</v>
      </c>
      <c r="T83">
        <v>0</v>
      </c>
      <c r="U83">
        <v>0</v>
      </c>
      <c r="V83">
        <v>0</v>
      </c>
      <c r="W83">
        <v>0</v>
      </c>
      <c r="X83">
        <v>54.4</v>
      </c>
      <c r="Y83">
        <v>71.790000000000006</v>
      </c>
      <c r="Z83">
        <v>122</v>
      </c>
      <c r="AA83">
        <v>8</v>
      </c>
    </row>
    <row r="84" spans="1:27" x14ac:dyDescent="0.25">
      <c r="A84" t="s">
        <v>290</v>
      </c>
      <c r="B84" t="s">
        <v>79</v>
      </c>
      <c r="C84" t="s">
        <v>291</v>
      </c>
      <c r="D84" t="s">
        <v>7</v>
      </c>
      <c r="E84">
        <v>15</v>
      </c>
      <c r="F84" t="s">
        <v>92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8</v>
      </c>
    </row>
    <row r="85" spans="1:27" x14ac:dyDescent="0.25">
      <c r="A85" t="s">
        <v>244</v>
      </c>
      <c r="B85" t="s">
        <v>79</v>
      </c>
      <c r="C85" t="s">
        <v>245</v>
      </c>
      <c r="D85" t="s">
        <v>0</v>
      </c>
      <c r="E85">
        <v>16</v>
      </c>
      <c r="F85" t="s">
        <v>103</v>
      </c>
      <c r="G85">
        <v>76.5</v>
      </c>
      <c r="H85">
        <v>76.5</v>
      </c>
      <c r="I85">
        <v>1</v>
      </c>
      <c r="J85">
        <v>1</v>
      </c>
      <c r="K85">
        <v>0</v>
      </c>
      <c r="L85">
        <v>46</v>
      </c>
      <c r="M85">
        <v>18</v>
      </c>
      <c r="N85">
        <v>0</v>
      </c>
      <c r="O85">
        <v>7</v>
      </c>
      <c r="P85">
        <v>1</v>
      </c>
      <c r="Q85">
        <v>0</v>
      </c>
      <c r="R85">
        <v>0</v>
      </c>
      <c r="S85">
        <v>1</v>
      </c>
      <c r="T85">
        <v>0</v>
      </c>
      <c r="U85">
        <v>0</v>
      </c>
      <c r="V85">
        <v>0</v>
      </c>
      <c r="W85">
        <v>0</v>
      </c>
      <c r="X85">
        <v>24</v>
      </c>
      <c r="Y85">
        <v>68.75</v>
      </c>
      <c r="Z85">
        <v>31</v>
      </c>
      <c r="AA85">
        <v>1</v>
      </c>
    </row>
    <row r="86" spans="1:27" x14ac:dyDescent="0.25">
      <c r="A86" t="s">
        <v>110</v>
      </c>
      <c r="B86" t="s">
        <v>79</v>
      </c>
      <c r="C86" t="s">
        <v>111</v>
      </c>
      <c r="D86" t="s">
        <v>0</v>
      </c>
      <c r="E86">
        <v>16</v>
      </c>
      <c r="F86" t="s">
        <v>92</v>
      </c>
      <c r="G86">
        <v>265</v>
      </c>
      <c r="H86">
        <v>66.25</v>
      </c>
      <c r="I86">
        <v>4</v>
      </c>
      <c r="J86">
        <v>3</v>
      </c>
      <c r="K86">
        <v>1</v>
      </c>
      <c r="L86">
        <v>160</v>
      </c>
      <c r="M86">
        <v>57</v>
      </c>
      <c r="N86">
        <v>1</v>
      </c>
      <c r="O86">
        <v>32</v>
      </c>
      <c r="P86">
        <v>2</v>
      </c>
      <c r="Q86">
        <v>0</v>
      </c>
      <c r="R86">
        <v>0</v>
      </c>
      <c r="S86">
        <v>3</v>
      </c>
      <c r="T86">
        <v>2</v>
      </c>
      <c r="U86">
        <v>0</v>
      </c>
      <c r="V86">
        <v>0</v>
      </c>
      <c r="W86">
        <v>0</v>
      </c>
      <c r="X86">
        <v>27.8</v>
      </c>
      <c r="Y86">
        <v>69.209999999999994</v>
      </c>
      <c r="Z86">
        <v>207</v>
      </c>
      <c r="AA86">
        <v>1</v>
      </c>
    </row>
    <row r="87" spans="1:27" x14ac:dyDescent="0.25">
      <c r="A87" t="s">
        <v>240</v>
      </c>
      <c r="B87" t="s">
        <v>79</v>
      </c>
      <c r="C87" t="s">
        <v>241</v>
      </c>
      <c r="D87" t="s">
        <v>0</v>
      </c>
      <c r="E87">
        <v>8</v>
      </c>
      <c r="F87" t="s">
        <v>81</v>
      </c>
      <c r="G87">
        <v>399.5</v>
      </c>
      <c r="H87">
        <v>57.07</v>
      </c>
      <c r="I87">
        <v>7</v>
      </c>
      <c r="J87">
        <v>5</v>
      </c>
      <c r="K87">
        <v>2</v>
      </c>
      <c r="L87">
        <v>249</v>
      </c>
      <c r="M87">
        <v>94</v>
      </c>
      <c r="N87">
        <v>3</v>
      </c>
      <c r="O87">
        <v>82</v>
      </c>
      <c r="P87">
        <v>4</v>
      </c>
      <c r="Q87">
        <v>0</v>
      </c>
      <c r="R87">
        <v>0</v>
      </c>
      <c r="S87">
        <v>1</v>
      </c>
      <c r="T87">
        <v>1</v>
      </c>
      <c r="U87">
        <v>0</v>
      </c>
      <c r="V87">
        <v>0</v>
      </c>
      <c r="W87">
        <v>0</v>
      </c>
      <c r="X87">
        <v>48.4</v>
      </c>
      <c r="Y87">
        <v>70.92</v>
      </c>
      <c r="Z87">
        <v>172</v>
      </c>
      <c r="AA87">
        <v>1</v>
      </c>
    </row>
    <row r="88" spans="1:27" x14ac:dyDescent="0.25">
      <c r="A88" t="s">
        <v>260</v>
      </c>
      <c r="B88" t="s">
        <v>79</v>
      </c>
      <c r="C88" t="s">
        <v>261</v>
      </c>
      <c r="D88" t="s">
        <v>0</v>
      </c>
      <c r="E88">
        <v>14</v>
      </c>
      <c r="F88" t="s">
        <v>103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1</v>
      </c>
    </row>
    <row r="89" spans="1:27" x14ac:dyDescent="0.25">
      <c r="A89" t="s">
        <v>222</v>
      </c>
      <c r="B89" t="s">
        <v>79</v>
      </c>
      <c r="C89" t="s">
        <v>223</v>
      </c>
      <c r="D89" t="s">
        <v>0</v>
      </c>
      <c r="E89">
        <v>6</v>
      </c>
      <c r="F89" t="s">
        <v>92</v>
      </c>
      <c r="G89">
        <v>694</v>
      </c>
      <c r="H89">
        <v>69.400000000000006</v>
      </c>
      <c r="I89">
        <v>10</v>
      </c>
      <c r="J89">
        <v>10</v>
      </c>
      <c r="K89">
        <v>0</v>
      </c>
      <c r="L89">
        <v>438</v>
      </c>
      <c r="M89">
        <v>150</v>
      </c>
      <c r="N89">
        <v>6</v>
      </c>
      <c r="O89">
        <v>96</v>
      </c>
      <c r="P89">
        <v>11</v>
      </c>
      <c r="Q89">
        <v>1</v>
      </c>
      <c r="R89">
        <v>1</v>
      </c>
      <c r="S89">
        <v>5</v>
      </c>
      <c r="T89">
        <v>2</v>
      </c>
      <c r="U89">
        <v>0</v>
      </c>
      <c r="V89">
        <v>0</v>
      </c>
      <c r="W89">
        <v>0</v>
      </c>
      <c r="X89">
        <v>33</v>
      </c>
      <c r="Y89">
        <v>70.23</v>
      </c>
      <c r="Z89">
        <v>532</v>
      </c>
      <c r="AA89">
        <v>1</v>
      </c>
    </row>
    <row r="90" spans="1:27" x14ac:dyDescent="0.25">
      <c r="A90" t="s">
        <v>250</v>
      </c>
      <c r="B90" t="s">
        <v>79</v>
      </c>
      <c r="C90" t="s">
        <v>251</v>
      </c>
      <c r="D90" t="s">
        <v>0</v>
      </c>
      <c r="E90">
        <v>13</v>
      </c>
      <c r="F90" t="s">
        <v>92</v>
      </c>
      <c r="G90">
        <v>49</v>
      </c>
      <c r="H90">
        <v>49</v>
      </c>
      <c r="I90">
        <v>1</v>
      </c>
      <c r="J90">
        <v>1</v>
      </c>
      <c r="K90">
        <v>0</v>
      </c>
      <c r="L90">
        <v>40</v>
      </c>
      <c r="M90">
        <v>13</v>
      </c>
      <c r="N90">
        <v>0</v>
      </c>
      <c r="O90">
        <v>16</v>
      </c>
      <c r="P90">
        <v>3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45</v>
      </c>
      <c r="Y90">
        <v>74.25</v>
      </c>
      <c r="Z90">
        <v>0</v>
      </c>
      <c r="AA90">
        <v>1</v>
      </c>
    </row>
    <row r="91" spans="1:27" x14ac:dyDescent="0.25">
      <c r="A91" t="s">
        <v>246</v>
      </c>
      <c r="B91" t="s">
        <v>79</v>
      </c>
      <c r="C91" t="s">
        <v>247</v>
      </c>
      <c r="D91" t="s">
        <v>0</v>
      </c>
      <c r="E91">
        <v>9</v>
      </c>
      <c r="F91" t="s">
        <v>103</v>
      </c>
      <c r="G91">
        <v>62.5</v>
      </c>
      <c r="H91">
        <v>31.25</v>
      </c>
      <c r="I91">
        <v>2</v>
      </c>
      <c r="J91">
        <v>1</v>
      </c>
      <c r="K91">
        <v>1</v>
      </c>
      <c r="L91">
        <v>61</v>
      </c>
      <c r="M91">
        <v>14</v>
      </c>
      <c r="N91">
        <v>0</v>
      </c>
      <c r="O91">
        <v>10</v>
      </c>
      <c r="P91">
        <v>3</v>
      </c>
      <c r="Q91">
        <v>2</v>
      </c>
      <c r="R91">
        <v>2</v>
      </c>
      <c r="S91">
        <v>0</v>
      </c>
      <c r="T91">
        <v>0</v>
      </c>
      <c r="U91">
        <v>0</v>
      </c>
      <c r="V91">
        <v>0</v>
      </c>
      <c r="W91">
        <v>0</v>
      </c>
      <c r="X91">
        <v>68.5</v>
      </c>
      <c r="Y91">
        <v>73.2</v>
      </c>
      <c r="Z91">
        <v>6</v>
      </c>
      <c r="AA91">
        <v>1</v>
      </c>
    </row>
    <row r="92" spans="1:27" x14ac:dyDescent="0.25">
      <c r="A92" t="s">
        <v>256</v>
      </c>
      <c r="B92" t="s">
        <v>79</v>
      </c>
      <c r="C92" t="s">
        <v>257</v>
      </c>
      <c r="D92" t="s">
        <v>0</v>
      </c>
      <c r="E92">
        <v>16</v>
      </c>
      <c r="F92" t="s">
        <v>103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1</v>
      </c>
    </row>
    <row r="93" spans="1:27" x14ac:dyDescent="0.25">
      <c r="A93" t="s">
        <v>224</v>
      </c>
      <c r="B93" t="s">
        <v>79</v>
      </c>
      <c r="C93" t="s">
        <v>225</v>
      </c>
      <c r="D93" t="s">
        <v>0</v>
      </c>
      <c r="E93">
        <v>1</v>
      </c>
      <c r="F93" t="s">
        <v>81</v>
      </c>
      <c r="G93">
        <v>1028</v>
      </c>
      <c r="H93">
        <v>114.22</v>
      </c>
      <c r="I93">
        <v>9</v>
      </c>
      <c r="J93">
        <v>9</v>
      </c>
      <c r="K93">
        <v>0</v>
      </c>
      <c r="L93">
        <v>387</v>
      </c>
      <c r="M93">
        <v>183</v>
      </c>
      <c r="N93">
        <v>6</v>
      </c>
      <c r="O93">
        <v>49</v>
      </c>
      <c r="P93">
        <v>5</v>
      </c>
      <c r="Q93">
        <v>0</v>
      </c>
      <c r="R93">
        <v>0</v>
      </c>
      <c r="S93">
        <v>9</v>
      </c>
      <c r="T93">
        <v>8</v>
      </c>
      <c r="U93">
        <v>6</v>
      </c>
      <c r="V93">
        <v>6</v>
      </c>
      <c r="W93">
        <v>4</v>
      </c>
      <c r="X93">
        <v>4.7</v>
      </c>
      <c r="Y93">
        <v>67.540000000000006</v>
      </c>
      <c r="Z93" s="6">
        <v>3666</v>
      </c>
      <c r="AA93">
        <v>1</v>
      </c>
    </row>
    <row r="94" spans="1:27" x14ac:dyDescent="0.25">
      <c r="A94" t="s">
        <v>254</v>
      </c>
      <c r="B94" t="s">
        <v>79</v>
      </c>
      <c r="C94" t="s">
        <v>255</v>
      </c>
      <c r="D94" t="s">
        <v>0</v>
      </c>
      <c r="E94">
        <v>16</v>
      </c>
      <c r="F94" t="s">
        <v>92</v>
      </c>
      <c r="G94">
        <v>76</v>
      </c>
      <c r="H94">
        <v>38</v>
      </c>
      <c r="I94">
        <v>2</v>
      </c>
      <c r="J94">
        <v>1</v>
      </c>
      <c r="K94">
        <v>1</v>
      </c>
      <c r="L94">
        <v>77</v>
      </c>
      <c r="M94">
        <v>13</v>
      </c>
      <c r="N94">
        <v>1</v>
      </c>
      <c r="O94">
        <v>15</v>
      </c>
      <c r="P94">
        <v>2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73.5</v>
      </c>
      <c r="Y94">
        <v>72.33</v>
      </c>
      <c r="Z94">
        <v>2</v>
      </c>
      <c r="AA94">
        <v>1</v>
      </c>
    </row>
    <row r="95" spans="1:27" x14ac:dyDescent="0.25">
      <c r="A95" t="s">
        <v>232</v>
      </c>
      <c r="B95" t="s">
        <v>79</v>
      </c>
      <c r="C95" t="s">
        <v>233</v>
      </c>
      <c r="D95" t="s">
        <v>0</v>
      </c>
      <c r="E95">
        <v>2</v>
      </c>
      <c r="F95" t="s">
        <v>81</v>
      </c>
      <c r="G95">
        <v>547.5</v>
      </c>
      <c r="H95">
        <v>60.83</v>
      </c>
      <c r="I95">
        <v>9</v>
      </c>
      <c r="J95">
        <v>7</v>
      </c>
      <c r="K95">
        <v>2</v>
      </c>
      <c r="L95">
        <v>366</v>
      </c>
      <c r="M95">
        <v>108</v>
      </c>
      <c r="N95">
        <v>4</v>
      </c>
      <c r="O95">
        <v>91</v>
      </c>
      <c r="P95">
        <v>6</v>
      </c>
      <c r="Q95">
        <v>1</v>
      </c>
      <c r="R95">
        <v>1</v>
      </c>
      <c r="S95">
        <v>4</v>
      </c>
      <c r="T95">
        <v>3</v>
      </c>
      <c r="U95">
        <v>2</v>
      </c>
      <c r="V95">
        <v>1</v>
      </c>
      <c r="W95">
        <v>0</v>
      </c>
      <c r="X95">
        <v>40.200000000000003</v>
      </c>
      <c r="Y95">
        <v>70.94</v>
      </c>
      <c r="Z95">
        <v>947</v>
      </c>
      <c r="AA95">
        <v>1</v>
      </c>
    </row>
    <row r="96" spans="1:27" x14ac:dyDescent="0.25">
      <c r="A96" t="s">
        <v>226</v>
      </c>
      <c r="B96" t="s">
        <v>79</v>
      </c>
      <c r="C96" t="s">
        <v>227</v>
      </c>
      <c r="D96" t="s">
        <v>0</v>
      </c>
      <c r="E96">
        <v>15</v>
      </c>
      <c r="F96" t="s">
        <v>81</v>
      </c>
      <c r="G96">
        <v>750.5</v>
      </c>
      <c r="H96">
        <v>68.23</v>
      </c>
      <c r="I96">
        <v>11</v>
      </c>
      <c r="J96">
        <v>9</v>
      </c>
      <c r="K96">
        <v>2</v>
      </c>
      <c r="L96">
        <v>439</v>
      </c>
      <c r="M96">
        <v>164</v>
      </c>
      <c r="N96">
        <v>4</v>
      </c>
      <c r="O96">
        <v>88</v>
      </c>
      <c r="P96">
        <v>7</v>
      </c>
      <c r="Q96">
        <v>0</v>
      </c>
      <c r="R96">
        <v>0</v>
      </c>
      <c r="S96">
        <v>6</v>
      </c>
      <c r="T96">
        <v>2</v>
      </c>
      <c r="U96">
        <v>1</v>
      </c>
      <c r="V96">
        <v>1</v>
      </c>
      <c r="W96">
        <v>0</v>
      </c>
      <c r="X96">
        <v>31.3</v>
      </c>
      <c r="Y96">
        <v>69.64</v>
      </c>
      <c r="Z96">
        <v>761</v>
      </c>
      <c r="AA96">
        <v>1</v>
      </c>
    </row>
    <row r="97" spans="1:27" x14ac:dyDescent="0.25">
      <c r="A97" t="s">
        <v>228</v>
      </c>
      <c r="B97" t="s">
        <v>79</v>
      </c>
      <c r="C97" t="s">
        <v>229</v>
      </c>
      <c r="D97" t="s">
        <v>0</v>
      </c>
      <c r="E97">
        <v>10</v>
      </c>
      <c r="F97" t="s">
        <v>81</v>
      </c>
      <c r="G97">
        <v>717</v>
      </c>
      <c r="H97">
        <v>71.7</v>
      </c>
      <c r="I97">
        <v>10</v>
      </c>
      <c r="J97">
        <v>8</v>
      </c>
      <c r="K97">
        <v>2</v>
      </c>
      <c r="L97">
        <v>404</v>
      </c>
      <c r="M97">
        <v>157</v>
      </c>
      <c r="N97">
        <v>6</v>
      </c>
      <c r="O97">
        <v>70</v>
      </c>
      <c r="P97">
        <v>11</v>
      </c>
      <c r="Q97">
        <v>0</v>
      </c>
      <c r="R97">
        <v>0</v>
      </c>
      <c r="S97">
        <v>7</v>
      </c>
      <c r="T97">
        <v>2</v>
      </c>
      <c r="U97">
        <v>0</v>
      </c>
      <c r="V97">
        <v>0</v>
      </c>
      <c r="W97">
        <v>0</v>
      </c>
      <c r="X97">
        <v>34</v>
      </c>
      <c r="Y97">
        <v>69.19</v>
      </c>
      <c r="Z97">
        <v>371</v>
      </c>
      <c r="AA97">
        <v>1</v>
      </c>
    </row>
    <row r="98" spans="1:27" x14ac:dyDescent="0.25">
      <c r="A98" t="s">
        <v>236</v>
      </c>
      <c r="B98" t="s">
        <v>79</v>
      </c>
      <c r="C98" t="s">
        <v>237</v>
      </c>
      <c r="D98" t="s">
        <v>0</v>
      </c>
      <c r="E98">
        <v>5</v>
      </c>
      <c r="F98" t="s">
        <v>92</v>
      </c>
      <c r="G98">
        <v>366.5</v>
      </c>
      <c r="H98">
        <v>61.08</v>
      </c>
      <c r="I98">
        <v>6</v>
      </c>
      <c r="J98">
        <v>5</v>
      </c>
      <c r="K98">
        <v>1</v>
      </c>
      <c r="L98">
        <v>255</v>
      </c>
      <c r="M98">
        <v>79</v>
      </c>
      <c r="N98">
        <v>2</v>
      </c>
      <c r="O98">
        <v>54</v>
      </c>
      <c r="P98">
        <v>6</v>
      </c>
      <c r="Q98">
        <v>0</v>
      </c>
      <c r="R98">
        <v>0</v>
      </c>
      <c r="S98">
        <v>2</v>
      </c>
      <c r="T98">
        <v>1</v>
      </c>
      <c r="U98">
        <v>0</v>
      </c>
      <c r="V98">
        <v>0</v>
      </c>
      <c r="W98">
        <v>0</v>
      </c>
      <c r="X98">
        <v>33.299999999999997</v>
      </c>
      <c r="Y98">
        <v>69.95</v>
      </c>
      <c r="Z98">
        <v>173</v>
      </c>
      <c r="AA98">
        <v>1</v>
      </c>
    </row>
    <row r="99" spans="1:27" x14ac:dyDescent="0.25">
      <c r="A99" t="s">
        <v>238</v>
      </c>
      <c r="B99" t="s">
        <v>79</v>
      </c>
      <c r="C99" t="s">
        <v>239</v>
      </c>
      <c r="D99" t="s">
        <v>0</v>
      </c>
      <c r="E99">
        <v>4</v>
      </c>
      <c r="F99" t="s">
        <v>92</v>
      </c>
      <c r="G99">
        <v>271.5</v>
      </c>
      <c r="H99">
        <v>67.88</v>
      </c>
      <c r="I99">
        <v>4</v>
      </c>
      <c r="J99">
        <v>3</v>
      </c>
      <c r="K99">
        <v>1</v>
      </c>
      <c r="L99">
        <v>162</v>
      </c>
      <c r="M99">
        <v>58</v>
      </c>
      <c r="N99">
        <v>3</v>
      </c>
      <c r="O99">
        <v>25</v>
      </c>
      <c r="P99">
        <v>4</v>
      </c>
      <c r="Q99">
        <v>0</v>
      </c>
      <c r="R99">
        <v>0</v>
      </c>
      <c r="S99">
        <v>1</v>
      </c>
      <c r="T99">
        <v>0</v>
      </c>
      <c r="U99">
        <v>0</v>
      </c>
      <c r="V99">
        <v>0</v>
      </c>
      <c r="W99">
        <v>0</v>
      </c>
      <c r="X99">
        <v>41.8</v>
      </c>
      <c r="Y99">
        <v>68.930000000000007</v>
      </c>
      <c r="Z99">
        <v>121</v>
      </c>
      <c r="AA99">
        <v>1</v>
      </c>
    </row>
    <row r="100" spans="1:27" x14ac:dyDescent="0.25">
      <c r="A100" t="s">
        <v>230</v>
      </c>
      <c r="B100" t="s">
        <v>79</v>
      </c>
      <c r="C100" t="s">
        <v>231</v>
      </c>
      <c r="D100" t="s">
        <v>0</v>
      </c>
      <c r="E100">
        <v>3</v>
      </c>
      <c r="F100" t="s">
        <v>81</v>
      </c>
      <c r="G100">
        <v>708</v>
      </c>
      <c r="H100">
        <v>70.8</v>
      </c>
      <c r="I100">
        <v>10</v>
      </c>
      <c r="J100">
        <v>9</v>
      </c>
      <c r="K100">
        <v>1</v>
      </c>
      <c r="L100">
        <v>434</v>
      </c>
      <c r="M100">
        <v>142</v>
      </c>
      <c r="N100">
        <v>7</v>
      </c>
      <c r="O100">
        <v>90</v>
      </c>
      <c r="P100">
        <v>9</v>
      </c>
      <c r="Q100">
        <v>2</v>
      </c>
      <c r="R100">
        <v>2</v>
      </c>
      <c r="S100">
        <v>4</v>
      </c>
      <c r="T100">
        <v>4</v>
      </c>
      <c r="U100">
        <v>2</v>
      </c>
      <c r="V100">
        <v>1</v>
      </c>
      <c r="W100">
        <v>0</v>
      </c>
      <c r="X100">
        <v>33</v>
      </c>
      <c r="Y100">
        <v>70.16</v>
      </c>
      <c r="Z100" s="6">
        <v>1044</v>
      </c>
      <c r="AA100">
        <v>1</v>
      </c>
    </row>
    <row r="101" spans="1:27" x14ac:dyDescent="0.25">
      <c r="A101" t="s">
        <v>370</v>
      </c>
      <c r="B101" t="s">
        <v>79</v>
      </c>
      <c r="C101" t="s">
        <v>371</v>
      </c>
      <c r="D101" t="s">
        <v>0</v>
      </c>
      <c r="E101">
        <v>16</v>
      </c>
      <c r="F101" t="s">
        <v>81</v>
      </c>
      <c r="G101">
        <v>51</v>
      </c>
      <c r="H101">
        <v>25.5</v>
      </c>
      <c r="I101">
        <v>2</v>
      </c>
      <c r="J101">
        <v>0</v>
      </c>
      <c r="K101">
        <v>2</v>
      </c>
      <c r="L101">
        <v>43</v>
      </c>
      <c r="M101">
        <v>13</v>
      </c>
      <c r="N101">
        <v>0</v>
      </c>
      <c r="O101">
        <v>13</v>
      </c>
      <c r="P101">
        <v>2</v>
      </c>
      <c r="Q101">
        <v>1</v>
      </c>
      <c r="R101">
        <v>1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74.5</v>
      </c>
      <c r="Y101">
        <v>73.25</v>
      </c>
      <c r="Z101">
        <v>0</v>
      </c>
      <c r="AA101">
        <v>1</v>
      </c>
    </row>
    <row r="102" spans="1:27" x14ac:dyDescent="0.25">
      <c r="A102" t="s">
        <v>258</v>
      </c>
      <c r="B102" t="s">
        <v>79</v>
      </c>
      <c r="C102" t="s">
        <v>259</v>
      </c>
      <c r="D102" t="s">
        <v>0</v>
      </c>
      <c r="E102">
        <v>11</v>
      </c>
      <c r="F102" t="s">
        <v>103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1</v>
      </c>
    </row>
    <row r="103" spans="1:27" x14ac:dyDescent="0.25">
      <c r="A103" t="s">
        <v>252</v>
      </c>
      <c r="B103" t="s">
        <v>79</v>
      </c>
      <c r="C103" t="s">
        <v>253</v>
      </c>
      <c r="D103" t="s">
        <v>0</v>
      </c>
      <c r="E103">
        <v>7</v>
      </c>
      <c r="F103" t="s">
        <v>92</v>
      </c>
      <c r="G103">
        <v>10</v>
      </c>
      <c r="H103">
        <v>10</v>
      </c>
      <c r="I103">
        <v>1</v>
      </c>
      <c r="J103">
        <v>0</v>
      </c>
      <c r="K103">
        <v>1</v>
      </c>
      <c r="L103">
        <v>14</v>
      </c>
      <c r="M103">
        <v>4</v>
      </c>
      <c r="N103">
        <v>0</v>
      </c>
      <c r="O103">
        <v>18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60</v>
      </c>
      <c r="Y103">
        <v>79</v>
      </c>
      <c r="Z103">
        <v>0</v>
      </c>
      <c r="AA103">
        <v>1</v>
      </c>
    </row>
    <row r="104" spans="1:27" x14ac:dyDescent="0.25">
      <c r="A104" t="s">
        <v>248</v>
      </c>
      <c r="B104" t="s">
        <v>79</v>
      </c>
      <c r="C104" t="s">
        <v>249</v>
      </c>
      <c r="D104" t="s">
        <v>0</v>
      </c>
      <c r="E104">
        <v>16</v>
      </c>
      <c r="F104" t="s">
        <v>103</v>
      </c>
      <c r="G104">
        <v>33.5</v>
      </c>
      <c r="H104">
        <v>33.5</v>
      </c>
      <c r="I104">
        <v>1</v>
      </c>
      <c r="J104">
        <v>0</v>
      </c>
      <c r="K104">
        <v>1</v>
      </c>
      <c r="L104">
        <v>22</v>
      </c>
      <c r="M104">
        <v>6</v>
      </c>
      <c r="N104">
        <v>1</v>
      </c>
      <c r="O104">
        <v>7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69</v>
      </c>
      <c r="Y104">
        <v>70.5</v>
      </c>
      <c r="Z104">
        <v>0</v>
      </c>
      <c r="AA104">
        <v>1</v>
      </c>
    </row>
    <row r="105" spans="1:27" x14ac:dyDescent="0.25">
      <c r="A105" t="s">
        <v>383</v>
      </c>
      <c r="B105" t="s">
        <v>79</v>
      </c>
      <c r="C105" t="s">
        <v>384</v>
      </c>
      <c r="D105" t="s">
        <v>0</v>
      </c>
      <c r="E105">
        <v>16</v>
      </c>
      <c r="F105" t="s">
        <v>81</v>
      </c>
      <c r="G105">
        <v>42.5</v>
      </c>
      <c r="H105">
        <v>42.5</v>
      </c>
      <c r="I105">
        <v>1</v>
      </c>
      <c r="J105">
        <v>0</v>
      </c>
      <c r="K105">
        <v>1</v>
      </c>
      <c r="L105">
        <v>21</v>
      </c>
      <c r="M105">
        <v>9</v>
      </c>
      <c r="N105">
        <v>1</v>
      </c>
      <c r="O105">
        <v>4</v>
      </c>
      <c r="P105">
        <v>1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66</v>
      </c>
      <c r="Y105">
        <v>68.5</v>
      </c>
      <c r="Z105">
        <v>0</v>
      </c>
      <c r="AA105">
        <v>1</v>
      </c>
    </row>
    <row r="106" spans="1:27" x14ac:dyDescent="0.25">
      <c r="A106" t="s">
        <v>156</v>
      </c>
      <c r="B106" t="s">
        <v>79</v>
      </c>
      <c r="C106" t="s">
        <v>157</v>
      </c>
      <c r="D106" t="s">
        <v>0</v>
      </c>
      <c r="E106">
        <v>16</v>
      </c>
      <c r="F106" t="s">
        <v>81</v>
      </c>
      <c r="G106">
        <v>31</v>
      </c>
      <c r="H106">
        <v>31</v>
      </c>
      <c r="I106">
        <v>1</v>
      </c>
      <c r="J106">
        <v>0</v>
      </c>
      <c r="K106">
        <v>1</v>
      </c>
      <c r="L106">
        <v>21</v>
      </c>
      <c r="M106">
        <v>8</v>
      </c>
      <c r="N106">
        <v>0</v>
      </c>
      <c r="O106">
        <v>7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66</v>
      </c>
      <c r="Y106">
        <v>70.5</v>
      </c>
      <c r="Z106">
        <v>0</v>
      </c>
      <c r="AA106">
        <v>1</v>
      </c>
    </row>
    <row r="107" spans="1:27" x14ac:dyDescent="0.25">
      <c r="A107" t="s">
        <v>242</v>
      </c>
      <c r="B107" t="s">
        <v>79</v>
      </c>
      <c r="C107" t="s">
        <v>243</v>
      </c>
      <c r="D107" t="s">
        <v>0</v>
      </c>
      <c r="E107">
        <v>16</v>
      </c>
      <c r="F107" t="s">
        <v>92</v>
      </c>
      <c r="G107">
        <v>216</v>
      </c>
      <c r="H107">
        <v>72</v>
      </c>
      <c r="I107">
        <v>3</v>
      </c>
      <c r="J107">
        <v>3</v>
      </c>
      <c r="K107">
        <v>0</v>
      </c>
      <c r="L107">
        <v>131</v>
      </c>
      <c r="M107">
        <v>48</v>
      </c>
      <c r="N107">
        <v>2</v>
      </c>
      <c r="O107">
        <v>33</v>
      </c>
      <c r="P107">
        <v>2</v>
      </c>
      <c r="Q107">
        <v>0</v>
      </c>
      <c r="R107">
        <v>0</v>
      </c>
      <c r="S107">
        <v>1</v>
      </c>
      <c r="T107">
        <v>1</v>
      </c>
      <c r="U107">
        <v>0</v>
      </c>
      <c r="V107">
        <v>0</v>
      </c>
      <c r="W107">
        <v>0</v>
      </c>
      <c r="X107">
        <v>39.299999999999997</v>
      </c>
      <c r="Y107">
        <v>69.75</v>
      </c>
      <c r="Z107">
        <v>87</v>
      </c>
      <c r="AA107">
        <v>1</v>
      </c>
    </row>
    <row r="108" spans="1:27" x14ac:dyDescent="0.25">
      <c r="A108" t="s">
        <v>234</v>
      </c>
      <c r="B108" t="s">
        <v>79</v>
      </c>
      <c r="C108" t="s">
        <v>235</v>
      </c>
      <c r="D108" t="s">
        <v>0</v>
      </c>
      <c r="E108">
        <v>12</v>
      </c>
      <c r="F108" t="s">
        <v>92</v>
      </c>
      <c r="G108">
        <v>478</v>
      </c>
      <c r="H108">
        <v>68.290000000000006</v>
      </c>
      <c r="I108">
        <v>7</v>
      </c>
      <c r="J108">
        <v>6</v>
      </c>
      <c r="K108">
        <v>1</v>
      </c>
      <c r="L108">
        <v>292</v>
      </c>
      <c r="M108">
        <v>111</v>
      </c>
      <c r="N108">
        <v>2</v>
      </c>
      <c r="O108">
        <v>58</v>
      </c>
      <c r="P108">
        <v>5</v>
      </c>
      <c r="Q108">
        <v>0</v>
      </c>
      <c r="R108">
        <v>0</v>
      </c>
      <c r="S108">
        <v>2</v>
      </c>
      <c r="T108">
        <v>0</v>
      </c>
      <c r="U108">
        <v>0</v>
      </c>
      <c r="V108">
        <v>0</v>
      </c>
      <c r="W108">
        <v>0</v>
      </c>
      <c r="X108">
        <v>40.700000000000003</v>
      </c>
      <c r="Y108">
        <v>69.650000000000006</v>
      </c>
      <c r="Z108">
        <v>169</v>
      </c>
      <c r="AA108">
        <v>1</v>
      </c>
    </row>
    <row r="109" spans="1:27" x14ac:dyDescent="0.25">
      <c r="A109" t="s">
        <v>122</v>
      </c>
      <c r="B109" t="s">
        <v>79</v>
      </c>
      <c r="C109" t="s">
        <v>123</v>
      </c>
      <c r="D109" t="s">
        <v>5</v>
      </c>
      <c r="E109">
        <v>6</v>
      </c>
      <c r="F109" t="s">
        <v>81</v>
      </c>
      <c r="G109">
        <v>620</v>
      </c>
      <c r="H109">
        <v>68.89</v>
      </c>
      <c r="I109">
        <v>9</v>
      </c>
      <c r="J109">
        <v>8</v>
      </c>
      <c r="K109">
        <v>1</v>
      </c>
      <c r="L109">
        <v>353</v>
      </c>
      <c r="M109">
        <v>152</v>
      </c>
      <c r="N109">
        <v>1</v>
      </c>
      <c r="O109">
        <v>79</v>
      </c>
      <c r="P109">
        <v>7</v>
      </c>
      <c r="Q109">
        <v>2</v>
      </c>
      <c r="R109">
        <v>2</v>
      </c>
      <c r="S109">
        <v>3</v>
      </c>
      <c r="T109">
        <v>1</v>
      </c>
      <c r="U109">
        <v>0</v>
      </c>
      <c r="V109">
        <v>0</v>
      </c>
      <c r="W109">
        <v>0</v>
      </c>
      <c r="X109">
        <v>29.7</v>
      </c>
      <c r="Y109">
        <v>69.790000000000006</v>
      </c>
      <c r="Z109">
        <v>499</v>
      </c>
      <c r="AA109">
        <v>7</v>
      </c>
    </row>
    <row r="110" spans="1:27" x14ac:dyDescent="0.25">
      <c r="A110" t="s">
        <v>132</v>
      </c>
      <c r="B110" t="s">
        <v>79</v>
      </c>
      <c r="C110" t="s">
        <v>133</v>
      </c>
      <c r="D110" t="s">
        <v>5</v>
      </c>
      <c r="E110">
        <v>8</v>
      </c>
      <c r="F110" t="s">
        <v>81</v>
      </c>
      <c r="G110">
        <v>347.5</v>
      </c>
      <c r="H110">
        <v>49.64</v>
      </c>
      <c r="I110">
        <v>7</v>
      </c>
      <c r="J110">
        <v>4</v>
      </c>
      <c r="K110">
        <v>3</v>
      </c>
      <c r="L110">
        <v>247</v>
      </c>
      <c r="M110">
        <v>78</v>
      </c>
      <c r="N110">
        <v>3</v>
      </c>
      <c r="O110">
        <v>60</v>
      </c>
      <c r="P110">
        <v>6</v>
      </c>
      <c r="Q110">
        <v>2</v>
      </c>
      <c r="R110">
        <v>2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61</v>
      </c>
      <c r="Y110">
        <v>70.819999999999993</v>
      </c>
      <c r="Z110">
        <v>42</v>
      </c>
      <c r="AA110">
        <v>7</v>
      </c>
    </row>
    <row r="111" spans="1:27" x14ac:dyDescent="0.25">
      <c r="A111" t="s">
        <v>130</v>
      </c>
      <c r="B111" t="s">
        <v>79</v>
      </c>
      <c r="C111" t="s">
        <v>131</v>
      </c>
      <c r="D111" t="s">
        <v>5</v>
      </c>
      <c r="E111">
        <v>7</v>
      </c>
      <c r="F111" t="s">
        <v>81</v>
      </c>
      <c r="G111">
        <v>372</v>
      </c>
      <c r="H111">
        <v>53.14</v>
      </c>
      <c r="I111">
        <v>7</v>
      </c>
      <c r="J111">
        <v>5</v>
      </c>
      <c r="K111">
        <v>2</v>
      </c>
      <c r="L111">
        <v>272</v>
      </c>
      <c r="M111">
        <v>82</v>
      </c>
      <c r="N111">
        <v>2</v>
      </c>
      <c r="O111">
        <v>50</v>
      </c>
      <c r="P111">
        <v>4</v>
      </c>
      <c r="Q111">
        <v>4</v>
      </c>
      <c r="R111">
        <v>4</v>
      </c>
      <c r="S111">
        <v>1</v>
      </c>
      <c r="T111">
        <v>0</v>
      </c>
      <c r="U111">
        <v>0</v>
      </c>
      <c r="V111">
        <v>0</v>
      </c>
      <c r="W111">
        <v>0</v>
      </c>
      <c r="X111">
        <v>52.1</v>
      </c>
      <c r="Y111">
        <v>70.650000000000006</v>
      </c>
      <c r="Z111">
        <v>185</v>
      </c>
      <c r="AA111">
        <v>7</v>
      </c>
    </row>
    <row r="112" spans="1:27" x14ac:dyDescent="0.25">
      <c r="A112" t="s">
        <v>158</v>
      </c>
      <c r="B112" t="s">
        <v>79</v>
      </c>
      <c r="C112" t="s">
        <v>159</v>
      </c>
      <c r="D112" t="s">
        <v>5</v>
      </c>
      <c r="E112">
        <v>11</v>
      </c>
      <c r="F112" t="s">
        <v>103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7</v>
      </c>
    </row>
    <row r="113" spans="1:27" x14ac:dyDescent="0.25">
      <c r="A113" t="s">
        <v>126</v>
      </c>
      <c r="B113" t="s">
        <v>79</v>
      </c>
      <c r="C113" t="s">
        <v>127</v>
      </c>
      <c r="D113" t="s">
        <v>5</v>
      </c>
      <c r="E113">
        <v>4</v>
      </c>
      <c r="F113" t="s">
        <v>81</v>
      </c>
      <c r="G113">
        <v>609.5</v>
      </c>
      <c r="H113">
        <v>67.72</v>
      </c>
      <c r="I113">
        <v>9</v>
      </c>
      <c r="J113">
        <v>8</v>
      </c>
      <c r="K113">
        <v>1</v>
      </c>
      <c r="L113">
        <v>389</v>
      </c>
      <c r="M113">
        <v>126</v>
      </c>
      <c r="N113">
        <v>2</v>
      </c>
      <c r="O113">
        <v>74</v>
      </c>
      <c r="P113">
        <v>3</v>
      </c>
      <c r="Q113">
        <v>0</v>
      </c>
      <c r="R113">
        <v>0</v>
      </c>
      <c r="S113">
        <v>5</v>
      </c>
      <c r="T113">
        <v>3</v>
      </c>
      <c r="U113">
        <v>3</v>
      </c>
      <c r="V113">
        <v>0</v>
      </c>
      <c r="W113">
        <v>0</v>
      </c>
      <c r="X113">
        <v>28.8</v>
      </c>
      <c r="Y113">
        <v>69.88</v>
      </c>
      <c r="Z113">
        <v>813</v>
      </c>
      <c r="AA113">
        <v>7</v>
      </c>
    </row>
    <row r="114" spans="1:27" x14ac:dyDescent="0.25">
      <c r="A114" t="s">
        <v>152</v>
      </c>
      <c r="B114" t="s">
        <v>79</v>
      </c>
      <c r="C114" t="s">
        <v>153</v>
      </c>
      <c r="D114" t="s">
        <v>5</v>
      </c>
      <c r="E114">
        <v>16</v>
      </c>
      <c r="F114" t="s">
        <v>92</v>
      </c>
      <c r="G114">
        <v>170</v>
      </c>
      <c r="H114">
        <v>56.67</v>
      </c>
      <c r="I114">
        <v>3</v>
      </c>
      <c r="J114">
        <v>2</v>
      </c>
      <c r="K114">
        <v>1</v>
      </c>
      <c r="L114">
        <v>120</v>
      </c>
      <c r="M114">
        <v>37</v>
      </c>
      <c r="N114">
        <v>0</v>
      </c>
      <c r="O114">
        <v>22</v>
      </c>
      <c r="P114">
        <v>1</v>
      </c>
      <c r="Q114">
        <v>0</v>
      </c>
      <c r="R114">
        <v>0</v>
      </c>
      <c r="S114">
        <v>2</v>
      </c>
      <c r="T114">
        <v>0</v>
      </c>
      <c r="U114">
        <v>0</v>
      </c>
      <c r="V114">
        <v>0</v>
      </c>
      <c r="W114">
        <v>0</v>
      </c>
      <c r="X114">
        <v>36.700000000000003</v>
      </c>
      <c r="Y114">
        <v>70.099999999999994</v>
      </c>
      <c r="Z114">
        <v>135</v>
      </c>
      <c r="AA114">
        <v>7</v>
      </c>
    </row>
    <row r="115" spans="1:27" x14ac:dyDescent="0.25">
      <c r="A115" t="s">
        <v>140</v>
      </c>
      <c r="B115" t="s">
        <v>79</v>
      </c>
      <c r="C115" t="s">
        <v>141</v>
      </c>
      <c r="D115" t="s">
        <v>5</v>
      </c>
      <c r="E115">
        <v>3</v>
      </c>
      <c r="F115" t="s">
        <v>103</v>
      </c>
      <c r="G115">
        <v>158</v>
      </c>
      <c r="H115">
        <v>79</v>
      </c>
      <c r="I115">
        <v>2</v>
      </c>
      <c r="J115">
        <v>2</v>
      </c>
      <c r="K115">
        <v>0</v>
      </c>
      <c r="L115">
        <v>88</v>
      </c>
      <c r="M115">
        <v>32</v>
      </c>
      <c r="N115">
        <v>2</v>
      </c>
      <c r="O115">
        <v>20</v>
      </c>
      <c r="P115">
        <v>2</v>
      </c>
      <c r="Q115">
        <v>0</v>
      </c>
      <c r="R115">
        <v>0</v>
      </c>
      <c r="S115">
        <v>2</v>
      </c>
      <c r="T115">
        <v>1</v>
      </c>
      <c r="U115">
        <v>0</v>
      </c>
      <c r="V115">
        <v>0</v>
      </c>
      <c r="W115">
        <v>0</v>
      </c>
      <c r="X115">
        <v>11</v>
      </c>
      <c r="Y115">
        <v>69.5</v>
      </c>
      <c r="Z115">
        <v>235</v>
      </c>
      <c r="AA115">
        <v>7</v>
      </c>
    </row>
    <row r="116" spans="1:27" x14ac:dyDescent="0.25">
      <c r="A116" t="s">
        <v>120</v>
      </c>
      <c r="B116" t="s">
        <v>79</v>
      </c>
      <c r="C116" t="s">
        <v>121</v>
      </c>
      <c r="D116" t="s">
        <v>5</v>
      </c>
      <c r="E116">
        <v>9</v>
      </c>
      <c r="F116" t="s">
        <v>92</v>
      </c>
      <c r="G116">
        <v>616</v>
      </c>
      <c r="H116">
        <v>61.6</v>
      </c>
      <c r="I116">
        <v>10</v>
      </c>
      <c r="J116">
        <v>8</v>
      </c>
      <c r="K116">
        <v>2</v>
      </c>
      <c r="L116">
        <v>399</v>
      </c>
      <c r="M116">
        <v>139</v>
      </c>
      <c r="N116">
        <v>3</v>
      </c>
      <c r="O116">
        <v>81</v>
      </c>
      <c r="P116">
        <v>8</v>
      </c>
      <c r="Q116">
        <v>0</v>
      </c>
      <c r="R116">
        <v>0</v>
      </c>
      <c r="S116">
        <v>3</v>
      </c>
      <c r="T116">
        <v>1</v>
      </c>
      <c r="U116">
        <v>0</v>
      </c>
      <c r="V116">
        <v>0</v>
      </c>
      <c r="W116">
        <v>0</v>
      </c>
      <c r="X116">
        <v>47.1</v>
      </c>
      <c r="Y116">
        <v>70</v>
      </c>
      <c r="Z116">
        <v>309</v>
      </c>
      <c r="AA116">
        <v>7</v>
      </c>
    </row>
    <row r="117" spans="1:27" x14ac:dyDescent="0.25">
      <c r="A117" t="s">
        <v>128</v>
      </c>
      <c r="B117" t="s">
        <v>79</v>
      </c>
      <c r="C117" t="s">
        <v>129</v>
      </c>
      <c r="D117" t="s">
        <v>5</v>
      </c>
      <c r="E117">
        <v>1</v>
      </c>
      <c r="F117" t="s">
        <v>81</v>
      </c>
      <c r="G117">
        <v>580.5</v>
      </c>
      <c r="H117">
        <v>64.5</v>
      </c>
      <c r="I117">
        <v>9</v>
      </c>
      <c r="J117">
        <v>8</v>
      </c>
      <c r="K117">
        <v>1</v>
      </c>
      <c r="L117">
        <v>384</v>
      </c>
      <c r="M117">
        <v>123</v>
      </c>
      <c r="N117">
        <v>3</v>
      </c>
      <c r="O117">
        <v>75</v>
      </c>
      <c r="P117">
        <v>6</v>
      </c>
      <c r="Q117">
        <v>3</v>
      </c>
      <c r="R117">
        <v>3</v>
      </c>
      <c r="S117">
        <v>5</v>
      </c>
      <c r="T117">
        <v>2</v>
      </c>
      <c r="U117">
        <v>1</v>
      </c>
      <c r="V117">
        <v>1</v>
      </c>
      <c r="W117">
        <v>0</v>
      </c>
      <c r="X117">
        <v>35.9</v>
      </c>
      <c r="Y117">
        <v>70.760000000000005</v>
      </c>
      <c r="Z117">
        <v>737</v>
      </c>
      <c r="AA117">
        <v>7</v>
      </c>
    </row>
    <row r="118" spans="1:27" x14ac:dyDescent="0.25">
      <c r="A118" t="s">
        <v>138</v>
      </c>
      <c r="B118" t="s">
        <v>79</v>
      </c>
      <c r="C118" t="s">
        <v>139</v>
      </c>
      <c r="D118" t="s">
        <v>5</v>
      </c>
      <c r="E118">
        <v>16</v>
      </c>
      <c r="F118" t="s">
        <v>92</v>
      </c>
      <c r="G118">
        <v>194.5</v>
      </c>
      <c r="H118">
        <v>97.25</v>
      </c>
      <c r="I118">
        <v>2</v>
      </c>
      <c r="J118">
        <v>2</v>
      </c>
      <c r="K118">
        <v>0</v>
      </c>
      <c r="L118">
        <v>81</v>
      </c>
      <c r="M118">
        <v>47</v>
      </c>
      <c r="N118">
        <v>0</v>
      </c>
      <c r="O118">
        <v>14</v>
      </c>
      <c r="P118">
        <v>2</v>
      </c>
      <c r="Q118">
        <v>0</v>
      </c>
      <c r="R118">
        <v>0</v>
      </c>
      <c r="S118">
        <v>2</v>
      </c>
      <c r="T118">
        <v>1</v>
      </c>
      <c r="U118">
        <v>1</v>
      </c>
      <c r="V118">
        <v>1</v>
      </c>
      <c r="W118">
        <v>0</v>
      </c>
      <c r="X118">
        <v>13.5</v>
      </c>
      <c r="Y118">
        <v>67.38</v>
      </c>
      <c r="Z118">
        <v>178</v>
      </c>
      <c r="AA118">
        <v>7</v>
      </c>
    </row>
    <row r="119" spans="1:27" x14ac:dyDescent="0.25">
      <c r="A119" t="s">
        <v>134</v>
      </c>
      <c r="B119" t="s">
        <v>79</v>
      </c>
      <c r="C119" t="s">
        <v>135</v>
      </c>
      <c r="D119" t="s">
        <v>5</v>
      </c>
      <c r="E119">
        <v>16</v>
      </c>
      <c r="F119" t="s">
        <v>92</v>
      </c>
      <c r="G119">
        <v>354.5</v>
      </c>
      <c r="H119">
        <v>59.08</v>
      </c>
      <c r="I119">
        <v>6</v>
      </c>
      <c r="J119">
        <v>4</v>
      </c>
      <c r="K119">
        <v>2</v>
      </c>
      <c r="L119">
        <v>237</v>
      </c>
      <c r="M119">
        <v>77</v>
      </c>
      <c r="N119">
        <v>2</v>
      </c>
      <c r="O119">
        <v>42</v>
      </c>
      <c r="P119">
        <v>2</v>
      </c>
      <c r="Q119">
        <v>0</v>
      </c>
      <c r="R119">
        <v>0</v>
      </c>
      <c r="S119">
        <v>1</v>
      </c>
      <c r="T119">
        <v>0</v>
      </c>
      <c r="U119">
        <v>0</v>
      </c>
      <c r="V119">
        <v>0</v>
      </c>
      <c r="W119">
        <v>0</v>
      </c>
      <c r="X119">
        <v>45.3</v>
      </c>
      <c r="Y119">
        <v>69.25</v>
      </c>
      <c r="Z119">
        <v>100</v>
      </c>
      <c r="AA119">
        <v>7</v>
      </c>
    </row>
    <row r="120" spans="1:27" x14ac:dyDescent="0.25">
      <c r="A120" t="s">
        <v>154</v>
      </c>
      <c r="B120" t="s">
        <v>79</v>
      </c>
      <c r="C120" t="s">
        <v>155</v>
      </c>
      <c r="D120" t="s">
        <v>5</v>
      </c>
      <c r="E120">
        <v>12</v>
      </c>
      <c r="F120" t="s">
        <v>92</v>
      </c>
      <c r="G120">
        <v>66.5</v>
      </c>
      <c r="H120">
        <v>66.5</v>
      </c>
      <c r="I120">
        <v>1</v>
      </c>
      <c r="J120">
        <v>1</v>
      </c>
      <c r="K120">
        <v>0</v>
      </c>
      <c r="L120">
        <v>58</v>
      </c>
      <c r="M120">
        <v>7</v>
      </c>
      <c r="N120">
        <v>1</v>
      </c>
      <c r="O120">
        <v>5</v>
      </c>
      <c r="P120">
        <v>1</v>
      </c>
      <c r="Q120">
        <v>0</v>
      </c>
      <c r="R120">
        <v>0</v>
      </c>
      <c r="S120">
        <v>1</v>
      </c>
      <c r="T120">
        <v>1</v>
      </c>
      <c r="U120">
        <v>0</v>
      </c>
      <c r="V120">
        <v>0</v>
      </c>
      <c r="W120">
        <v>0</v>
      </c>
      <c r="X120">
        <v>6</v>
      </c>
      <c r="Y120">
        <v>71.5</v>
      </c>
      <c r="Z120">
        <v>0</v>
      </c>
      <c r="AA120">
        <v>7</v>
      </c>
    </row>
    <row r="121" spans="1:27" x14ac:dyDescent="0.25">
      <c r="A121" t="s">
        <v>150</v>
      </c>
      <c r="B121" t="s">
        <v>79</v>
      </c>
      <c r="C121" t="s">
        <v>151</v>
      </c>
      <c r="D121" t="s">
        <v>5</v>
      </c>
      <c r="E121">
        <v>16</v>
      </c>
      <c r="F121" t="s">
        <v>92</v>
      </c>
      <c r="G121">
        <v>46.5</v>
      </c>
      <c r="H121">
        <v>23.25</v>
      </c>
      <c r="I121">
        <v>2</v>
      </c>
      <c r="J121">
        <v>0</v>
      </c>
      <c r="K121">
        <v>2</v>
      </c>
      <c r="L121">
        <v>45</v>
      </c>
      <c r="M121">
        <v>11</v>
      </c>
      <c r="N121">
        <v>0</v>
      </c>
      <c r="O121">
        <v>14</v>
      </c>
      <c r="P121">
        <v>2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72</v>
      </c>
      <c r="Y121">
        <v>72.75</v>
      </c>
      <c r="Z121">
        <v>0</v>
      </c>
      <c r="AA121">
        <v>7</v>
      </c>
    </row>
    <row r="122" spans="1:27" x14ac:dyDescent="0.25">
      <c r="A122" t="s">
        <v>144</v>
      </c>
      <c r="B122" t="s">
        <v>79</v>
      </c>
      <c r="C122" t="s">
        <v>145</v>
      </c>
      <c r="D122" t="s">
        <v>5</v>
      </c>
      <c r="E122">
        <v>10</v>
      </c>
      <c r="F122" t="s">
        <v>103</v>
      </c>
      <c r="G122">
        <v>52</v>
      </c>
      <c r="H122">
        <v>52</v>
      </c>
      <c r="I122">
        <v>1</v>
      </c>
      <c r="J122">
        <v>1</v>
      </c>
      <c r="K122">
        <v>0</v>
      </c>
      <c r="L122">
        <v>53</v>
      </c>
      <c r="M122">
        <v>10</v>
      </c>
      <c r="N122">
        <v>0</v>
      </c>
      <c r="O122">
        <v>9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74</v>
      </c>
      <c r="Y122">
        <v>69.75</v>
      </c>
      <c r="Z122">
        <v>2</v>
      </c>
      <c r="AA122">
        <v>7</v>
      </c>
    </row>
    <row r="123" spans="1:27" x14ac:dyDescent="0.25">
      <c r="A123" t="s">
        <v>124</v>
      </c>
      <c r="B123" t="s">
        <v>79</v>
      </c>
      <c r="C123" t="s">
        <v>125</v>
      </c>
      <c r="D123" t="s">
        <v>5</v>
      </c>
      <c r="E123">
        <v>2</v>
      </c>
      <c r="F123" t="s">
        <v>81</v>
      </c>
      <c r="G123">
        <v>564.5</v>
      </c>
      <c r="H123">
        <v>51.32</v>
      </c>
      <c r="I123">
        <v>11</v>
      </c>
      <c r="J123">
        <v>7</v>
      </c>
      <c r="K123">
        <v>4</v>
      </c>
      <c r="L123">
        <v>413</v>
      </c>
      <c r="M123">
        <v>125</v>
      </c>
      <c r="N123">
        <v>2</v>
      </c>
      <c r="O123">
        <v>78</v>
      </c>
      <c r="P123">
        <v>11</v>
      </c>
      <c r="Q123">
        <v>1</v>
      </c>
      <c r="R123">
        <v>1</v>
      </c>
      <c r="S123">
        <v>3</v>
      </c>
      <c r="T123">
        <v>0</v>
      </c>
      <c r="U123">
        <v>0</v>
      </c>
      <c r="V123">
        <v>0</v>
      </c>
      <c r="W123">
        <v>0</v>
      </c>
      <c r="X123">
        <v>49.8</v>
      </c>
      <c r="Y123">
        <v>70.8</v>
      </c>
      <c r="Z123">
        <v>334</v>
      </c>
      <c r="AA123">
        <v>7</v>
      </c>
    </row>
    <row r="124" spans="1:27" x14ac:dyDescent="0.25">
      <c r="A124" t="s">
        <v>112</v>
      </c>
      <c r="B124" t="s">
        <v>79</v>
      </c>
      <c r="C124" t="s">
        <v>113</v>
      </c>
      <c r="D124" t="s">
        <v>5</v>
      </c>
      <c r="E124">
        <v>5</v>
      </c>
      <c r="F124" t="s">
        <v>103</v>
      </c>
      <c r="G124">
        <v>48</v>
      </c>
      <c r="H124">
        <v>24</v>
      </c>
      <c r="I124">
        <v>2</v>
      </c>
      <c r="J124">
        <v>0</v>
      </c>
      <c r="K124">
        <v>2</v>
      </c>
      <c r="L124">
        <v>42</v>
      </c>
      <c r="M124">
        <v>12</v>
      </c>
      <c r="N124">
        <v>0</v>
      </c>
      <c r="O124">
        <v>18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65.5</v>
      </c>
      <c r="Y124">
        <v>73</v>
      </c>
      <c r="Z124">
        <v>0</v>
      </c>
      <c r="AA124">
        <v>7</v>
      </c>
    </row>
    <row r="125" spans="1:27" x14ac:dyDescent="0.25">
      <c r="A125" t="s">
        <v>136</v>
      </c>
      <c r="B125" t="s">
        <v>79</v>
      </c>
      <c r="C125" t="s">
        <v>325</v>
      </c>
      <c r="D125" t="s">
        <v>5</v>
      </c>
      <c r="E125">
        <v>16</v>
      </c>
      <c r="F125" t="s">
        <v>92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7</v>
      </c>
    </row>
    <row r="126" spans="1:27" x14ac:dyDescent="0.25">
      <c r="A126" t="s">
        <v>146</v>
      </c>
      <c r="B126" t="s">
        <v>79</v>
      </c>
      <c r="C126" t="s">
        <v>137</v>
      </c>
      <c r="D126" t="s">
        <v>5</v>
      </c>
      <c r="E126">
        <v>14</v>
      </c>
      <c r="F126" t="s">
        <v>92</v>
      </c>
      <c r="G126">
        <v>344.5</v>
      </c>
      <c r="H126">
        <v>57.42</v>
      </c>
      <c r="I126">
        <v>6</v>
      </c>
      <c r="J126">
        <v>4</v>
      </c>
      <c r="K126">
        <v>2</v>
      </c>
      <c r="L126">
        <v>233</v>
      </c>
      <c r="M126">
        <v>81</v>
      </c>
      <c r="N126">
        <v>2</v>
      </c>
      <c r="O126">
        <v>56</v>
      </c>
      <c r="P126">
        <v>5</v>
      </c>
      <c r="Q126">
        <v>1</v>
      </c>
      <c r="R126">
        <v>1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57.5</v>
      </c>
      <c r="Y126">
        <v>70.430000000000007</v>
      </c>
      <c r="Z126">
        <v>37</v>
      </c>
      <c r="AA126">
        <v>7</v>
      </c>
    </row>
    <row r="127" spans="1:27" x14ac:dyDescent="0.25">
      <c r="A127" t="s">
        <v>156</v>
      </c>
      <c r="B127" t="s">
        <v>79</v>
      </c>
      <c r="C127" t="s">
        <v>147</v>
      </c>
      <c r="D127" t="s">
        <v>5</v>
      </c>
      <c r="E127">
        <v>16</v>
      </c>
      <c r="F127" t="s">
        <v>92</v>
      </c>
      <c r="G127">
        <v>217</v>
      </c>
      <c r="H127">
        <v>54.25</v>
      </c>
      <c r="I127">
        <v>4</v>
      </c>
      <c r="J127">
        <v>3</v>
      </c>
      <c r="K127">
        <v>1</v>
      </c>
      <c r="L127">
        <v>160</v>
      </c>
      <c r="M127">
        <v>51</v>
      </c>
      <c r="N127">
        <v>0</v>
      </c>
      <c r="O127">
        <v>36</v>
      </c>
      <c r="P127">
        <v>4</v>
      </c>
      <c r="Q127">
        <v>1</v>
      </c>
      <c r="R127">
        <v>1</v>
      </c>
      <c r="S127">
        <v>1</v>
      </c>
      <c r="T127">
        <v>0</v>
      </c>
      <c r="U127">
        <v>0</v>
      </c>
      <c r="V127">
        <v>0</v>
      </c>
      <c r="W127">
        <v>0</v>
      </c>
      <c r="X127">
        <v>46.5</v>
      </c>
      <c r="Y127">
        <v>70.709999999999994</v>
      </c>
      <c r="Z127">
        <v>61</v>
      </c>
      <c r="AA127">
        <v>7</v>
      </c>
    </row>
    <row r="128" spans="1:27" x14ac:dyDescent="0.25">
      <c r="A128" t="s">
        <v>148</v>
      </c>
      <c r="B128" t="s">
        <v>79</v>
      </c>
      <c r="C128" t="s">
        <v>157</v>
      </c>
      <c r="D128" t="s">
        <v>5</v>
      </c>
      <c r="E128">
        <v>15</v>
      </c>
      <c r="F128" t="s">
        <v>103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7</v>
      </c>
    </row>
    <row r="129" spans="1:27" x14ac:dyDescent="0.25">
      <c r="A129" t="s">
        <v>142</v>
      </c>
      <c r="B129" t="s">
        <v>79</v>
      </c>
      <c r="C129" t="s">
        <v>149</v>
      </c>
      <c r="D129" t="s">
        <v>5</v>
      </c>
      <c r="E129">
        <v>16</v>
      </c>
      <c r="F129" t="s">
        <v>103</v>
      </c>
      <c r="G129">
        <v>31</v>
      </c>
      <c r="H129">
        <v>31</v>
      </c>
      <c r="I129">
        <v>1</v>
      </c>
      <c r="J129">
        <v>0</v>
      </c>
      <c r="K129">
        <v>1</v>
      </c>
      <c r="L129">
        <v>19</v>
      </c>
      <c r="M129">
        <v>9</v>
      </c>
      <c r="N129">
        <v>0</v>
      </c>
      <c r="O129">
        <v>5</v>
      </c>
      <c r="P129">
        <v>3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66</v>
      </c>
      <c r="Y129">
        <v>72</v>
      </c>
      <c r="Z129">
        <v>0</v>
      </c>
      <c r="AA129">
        <v>7</v>
      </c>
    </row>
    <row r="130" spans="1:27" x14ac:dyDescent="0.25">
      <c r="A130" t="s">
        <v>194</v>
      </c>
      <c r="B130" t="s">
        <v>79</v>
      </c>
      <c r="C130" t="s">
        <v>143</v>
      </c>
      <c r="D130" t="s">
        <v>5</v>
      </c>
      <c r="E130">
        <v>13</v>
      </c>
      <c r="F130" t="s">
        <v>92</v>
      </c>
      <c r="G130">
        <v>60</v>
      </c>
      <c r="H130">
        <v>60</v>
      </c>
      <c r="I130">
        <v>1</v>
      </c>
      <c r="J130">
        <v>0</v>
      </c>
      <c r="K130">
        <v>1</v>
      </c>
      <c r="L130">
        <v>33</v>
      </c>
      <c r="M130">
        <v>16</v>
      </c>
      <c r="N130">
        <v>0</v>
      </c>
      <c r="O130">
        <v>1</v>
      </c>
      <c r="P130">
        <v>3</v>
      </c>
      <c r="Q130">
        <v>1</v>
      </c>
      <c r="R130">
        <v>1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68</v>
      </c>
      <c r="Y130">
        <v>70.33</v>
      </c>
      <c r="Z130">
        <v>0</v>
      </c>
      <c r="AA130">
        <v>7</v>
      </c>
    </row>
    <row r="131" spans="1:27" x14ac:dyDescent="0.25">
      <c r="A131" t="s">
        <v>216</v>
      </c>
      <c r="B131" t="s">
        <v>79</v>
      </c>
      <c r="C131" t="s">
        <v>195</v>
      </c>
      <c r="D131" t="s">
        <v>6</v>
      </c>
      <c r="E131">
        <v>1</v>
      </c>
      <c r="F131" t="s">
        <v>81</v>
      </c>
      <c r="G131">
        <v>646</v>
      </c>
      <c r="H131">
        <v>64.599999999999994</v>
      </c>
      <c r="I131">
        <v>10</v>
      </c>
      <c r="J131">
        <v>7</v>
      </c>
      <c r="K131">
        <v>3</v>
      </c>
      <c r="L131">
        <v>364</v>
      </c>
      <c r="M131">
        <v>145</v>
      </c>
      <c r="N131">
        <v>2</v>
      </c>
      <c r="O131">
        <v>72</v>
      </c>
      <c r="P131">
        <v>11</v>
      </c>
      <c r="Q131">
        <v>0</v>
      </c>
      <c r="R131">
        <v>0</v>
      </c>
      <c r="S131">
        <v>6</v>
      </c>
      <c r="T131">
        <v>3</v>
      </c>
      <c r="U131">
        <v>2</v>
      </c>
      <c r="V131">
        <v>1</v>
      </c>
      <c r="W131">
        <v>0</v>
      </c>
      <c r="X131">
        <v>30.9</v>
      </c>
      <c r="Y131">
        <v>69.790000000000006</v>
      </c>
      <c r="Z131">
        <v>934</v>
      </c>
      <c r="AA131">
        <v>5</v>
      </c>
    </row>
    <row r="132" spans="1:27" x14ac:dyDescent="0.25">
      <c r="A132" t="s">
        <v>210</v>
      </c>
      <c r="B132" t="s">
        <v>79</v>
      </c>
      <c r="C132" t="s">
        <v>217</v>
      </c>
      <c r="D132" t="s">
        <v>6</v>
      </c>
      <c r="E132">
        <v>14</v>
      </c>
      <c r="F132" t="s">
        <v>92</v>
      </c>
      <c r="G132">
        <v>83.5</v>
      </c>
      <c r="H132">
        <v>41.75</v>
      </c>
      <c r="I132">
        <v>2</v>
      </c>
      <c r="J132">
        <v>1</v>
      </c>
      <c r="K132">
        <v>1</v>
      </c>
      <c r="L132">
        <v>73</v>
      </c>
      <c r="M132">
        <v>19</v>
      </c>
      <c r="N132">
        <v>0</v>
      </c>
      <c r="O132">
        <v>12</v>
      </c>
      <c r="P132">
        <v>3</v>
      </c>
      <c r="Q132">
        <v>1</v>
      </c>
      <c r="R132">
        <v>1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66.5</v>
      </c>
      <c r="Y132">
        <v>71.33</v>
      </c>
      <c r="Z132">
        <v>4</v>
      </c>
      <c r="AA132">
        <v>5</v>
      </c>
    </row>
    <row r="133" spans="1:27" x14ac:dyDescent="0.25">
      <c r="A133" t="s">
        <v>218</v>
      </c>
      <c r="B133" t="s">
        <v>79</v>
      </c>
      <c r="C133" t="s">
        <v>211</v>
      </c>
      <c r="D133" t="s">
        <v>6</v>
      </c>
      <c r="E133">
        <v>12</v>
      </c>
      <c r="F133" t="s">
        <v>92</v>
      </c>
      <c r="G133">
        <v>202.5</v>
      </c>
      <c r="H133">
        <v>50.62</v>
      </c>
      <c r="I133">
        <v>4</v>
      </c>
      <c r="J133">
        <v>2</v>
      </c>
      <c r="K133">
        <v>2</v>
      </c>
      <c r="L133">
        <v>146</v>
      </c>
      <c r="M133">
        <v>43</v>
      </c>
      <c r="N133">
        <v>1</v>
      </c>
      <c r="O133">
        <v>23</v>
      </c>
      <c r="P133">
        <v>2</v>
      </c>
      <c r="Q133">
        <v>1</v>
      </c>
      <c r="R133">
        <v>1</v>
      </c>
      <c r="S133">
        <v>1</v>
      </c>
      <c r="T133">
        <v>0</v>
      </c>
      <c r="U133">
        <v>0</v>
      </c>
      <c r="V133">
        <v>0</v>
      </c>
      <c r="W133">
        <v>0</v>
      </c>
      <c r="X133">
        <v>48.8</v>
      </c>
      <c r="Y133">
        <v>70.08</v>
      </c>
      <c r="Z133">
        <v>57</v>
      </c>
      <c r="AA133">
        <v>5</v>
      </c>
    </row>
    <row r="134" spans="1:27" x14ac:dyDescent="0.25">
      <c r="A134" t="s">
        <v>196</v>
      </c>
      <c r="B134" t="s">
        <v>79</v>
      </c>
      <c r="C134" t="s">
        <v>219</v>
      </c>
      <c r="D134" t="s">
        <v>6</v>
      </c>
      <c r="E134">
        <v>15</v>
      </c>
      <c r="F134" t="s">
        <v>92</v>
      </c>
      <c r="G134">
        <v>28</v>
      </c>
      <c r="H134">
        <v>28</v>
      </c>
      <c r="I134">
        <v>1</v>
      </c>
      <c r="J134">
        <v>0</v>
      </c>
      <c r="K134">
        <v>1</v>
      </c>
      <c r="L134">
        <v>25</v>
      </c>
      <c r="M134">
        <v>6</v>
      </c>
      <c r="N134">
        <v>0</v>
      </c>
      <c r="O134">
        <v>5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66</v>
      </c>
      <c r="Y134">
        <v>70.5</v>
      </c>
      <c r="Z134">
        <v>0</v>
      </c>
      <c r="AA134">
        <v>5</v>
      </c>
    </row>
    <row r="135" spans="1:27" x14ac:dyDescent="0.25">
      <c r="A135" t="s">
        <v>200</v>
      </c>
      <c r="B135" t="s">
        <v>79</v>
      </c>
      <c r="C135" t="s">
        <v>197</v>
      </c>
      <c r="D135" t="s">
        <v>6</v>
      </c>
      <c r="E135">
        <v>6</v>
      </c>
      <c r="F135" t="s">
        <v>81</v>
      </c>
      <c r="G135">
        <v>848.5</v>
      </c>
      <c r="H135">
        <v>77.14</v>
      </c>
      <c r="I135">
        <v>11</v>
      </c>
      <c r="J135">
        <v>11</v>
      </c>
      <c r="K135">
        <v>0</v>
      </c>
      <c r="L135">
        <v>504</v>
      </c>
      <c r="M135">
        <v>179</v>
      </c>
      <c r="N135">
        <v>8</v>
      </c>
      <c r="O135">
        <v>91</v>
      </c>
      <c r="P135">
        <v>9</v>
      </c>
      <c r="Q135">
        <v>1</v>
      </c>
      <c r="R135">
        <v>1</v>
      </c>
      <c r="S135">
        <v>7</v>
      </c>
      <c r="T135">
        <v>1</v>
      </c>
      <c r="U135">
        <v>0</v>
      </c>
      <c r="V135">
        <v>0</v>
      </c>
      <c r="W135">
        <v>0</v>
      </c>
      <c r="X135">
        <v>23</v>
      </c>
      <c r="Y135">
        <v>69.319999999999993</v>
      </c>
      <c r="Z135">
        <v>758</v>
      </c>
      <c r="AA135">
        <v>5</v>
      </c>
    </row>
    <row r="136" spans="1:27" x14ac:dyDescent="0.25">
      <c r="A136" t="s">
        <v>208</v>
      </c>
      <c r="B136" t="s">
        <v>79</v>
      </c>
      <c r="C136" t="s">
        <v>201</v>
      </c>
      <c r="D136" t="s">
        <v>6</v>
      </c>
      <c r="E136">
        <v>10</v>
      </c>
      <c r="F136" t="s">
        <v>81</v>
      </c>
      <c r="G136">
        <v>545</v>
      </c>
      <c r="H136">
        <v>60.56</v>
      </c>
      <c r="I136">
        <v>9</v>
      </c>
      <c r="J136">
        <v>6</v>
      </c>
      <c r="K136">
        <v>3</v>
      </c>
      <c r="L136">
        <v>309</v>
      </c>
      <c r="M136">
        <v>116</v>
      </c>
      <c r="N136">
        <v>6</v>
      </c>
      <c r="O136">
        <v>81</v>
      </c>
      <c r="P136">
        <v>10</v>
      </c>
      <c r="Q136">
        <v>0</v>
      </c>
      <c r="R136">
        <v>0</v>
      </c>
      <c r="S136">
        <v>4</v>
      </c>
      <c r="T136">
        <v>2</v>
      </c>
      <c r="U136">
        <v>1</v>
      </c>
      <c r="V136">
        <v>1</v>
      </c>
      <c r="W136">
        <v>0</v>
      </c>
      <c r="X136">
        <v>41.4</v>
      </c>
      <c r="Y136">
        <v>70.59</v>
      </c>
      <c r="Z136">
        <v>510</v>
      </c>
      <c r="AA136">
        <v>5</v>
      </c>
    </row>
    <row r="137" spans="1:27" x14ac:dyDescent="0.25">
      <c r="A137" t="s">
        <v>202</v>
      </c>
      <c r="B137" t="s">
        <v>79</v>
      </c>
      <c r="C137" t="s">
        <v>209</v>
      </c>
      <c r="D137" t="s">
        <v>6</v>
      </c>
      <c r="E137">
        <v>8</v>
      </c>
      <c r="F137" t="s">
        <v>92</v>
      </c>
      <c r="G137">
        <v>219</v>
      </c>
      <c r="H137">
        <v>36.5</v>
      </c>
      <c r="I137">
        <v>6</v>
      </c>
      <c r="J137">
        <v>1</v>
      </c>
      <c r="K137">
        <v>5</v>
      </c>
      <c r="L137">
        <v>161</v>
      </c>
      <c r="M137">
        <v>56</v>
      </c>
      <c r="N137">
        <v>0</v>
      </c>
      <c r="O137">
        <v>47</v>
      </c>
      <c r="P137">
        <v>6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71.5</v>
      </c>
      <c r="Y137">
        <v>71.53</v>
      </c>
      <c r="Z137">
        <v>2</v>
      </c>
      <c r="AA137">
        <v>5</v>
      </c>
    </row>
    <row r="138" spans="1:27" x14ac:dyDescent="0.25">
      <c r="A138" t="s">
        <v>112</v>
      </c>
      <c r="B138" t="s">
        <v>79</v>
      </c>
      <c r="C138" t="s">
        <v>203</v>
      </c>
      <c r="D138" t="s">
        <v>6</v>
      </c>
      <c r="E138">
        <v>5</v>
      </c>
      <c r="F138" t="s">
        <v>81</v>
      </c>
      <c r="G138">
        <v>451</v>
      </c>
      <c r="H138">
        <v>64.430000000000007</v>
      </c>
      <c r="I138">
        <v>7</v>
      </c>
      <c r="J138">
        <v>7</v>
      </c>
      <c r="K138">
        <v>0</v>
      </c>
      <c r="L138">
        <v>321</v>
      </c>
      <c r="M138">
        <v>91</v>
      </c>
      <c r="N138">
        <v>3</v>
      </c>
      <c r="O138">
        <v>63</v>
      </c>
      <c r="P138">
        <v>8</v>
      </c>
      <c r="Q138">
        <v>0</v>
      </c>
      <c r="R138">
        <v>0</v>
      </c>
      <c r="S138">
        <v>1</v>
      </c>
      <c r="T138">
        <v>1</v>
      </c>
      <c r="U138">
        <v>1</v>
      </c>
      <c r="V138">
        <v>1</v>
      </c>
      <c r="W138">
        <v>0</v>
      </c>
      <c r="X138">
        <v>39.299999999999997</v>
      </c>
      <c r="Y138">
        <v>70.59</v>
      </c>
      <c r="Z138">
        <v>273</v>
      </c>
      <c r="AA138">
        <v>5</v>
      </c>
    </row>
    <row r="139" spans="1:27" x14ac:dyDescent="0.25">
      <c r="A139" t="s">
        <v>212</v>
      </c>
      <c r="B139" t="s">
        <v>79</v>
      </c>
      <c r="C139" t="s">
        <v>113</v>
      </c>
      <c r="D139" t="s">
        <v>6</v>
      </c>
      <c r="E139">
        <v>16</v>
      </c>
      <c r="F139" t="s">
        <v>92</v>
      </c>
      <c r="G139">
        <v>75</v>
      </c>
      <c r="H139">
        <v>75</v>
      </c>
      <c r="I139">
        <v>1</v>
      </c>
      <c r="J139">
        <v>1</v>
      </c>
      <c r="K139">
        <v>0</v>
      </c>
      <c r="L139">
        <v>43</v>
      </c>
      <c r="M139">
        <v>17</v>
      </c>
      <c r="N139">
        <v>0</v>
      </c>
      <c r="O139">
        <v>11</v>
      </c>
      <c r="P139">
        <v>1</v>
      </c>
      <c r="Q139">
        <v>0</v>
      </c>
      <c r="R139">
        <v>0</v>
      </c>
      <c r="S139">
        <v>1</v>
      </c>
      <c r="T139">
        <v>1</v>
      </c>
      <c r="U139">
        <v>0</v>
      </c>
      <c r="V139">
        <v>0</v>
      </c>
      <c r="W139">
        <v>0</v>
      </c>
      <c r="X139">
        <v>8</v>
      </c>
      <c r="Y139">
        <v>70</v>
      </c>
      <c r="Z139">
        <v>213</v>
      </c>
      <c r="AA139">
        <v>5</v>
      </c>
    </row>
    <row r="140" spans="1:27" x14ac:dyDescent="0.25">
      <c r="A140" t="s">
        <v>204</v>
      </c>
      <c r="B140" t="s">
        <v>79</v>
      </c>
      <c r="C140" t="s">
        <v>213</v>
      </c>
      <c r="D140" t="s">
        <v>6</v>
      </c>
      <c r="E140">
        <v>11</v>
      </c>
      <c r="F140" t="s">
        <v>92</v>
      </c>
      <c r="G140">
        <v>83</v>
      </c>
      <c r="H140">
        <v>41.5</v>
      </c>
      <c r="I140">
        <v>2</v>
      </c>
      <c r="J140">
        <v>0</v>
      </c>
      <c r="K140">
        <v>2</v>
      </c>
      <c r="L140">
        <v>45</v>
      </c>
      <c r="M140">
        <v>24</v>
      </c>
      <c r="N140">
        <v>0</v>
      </c>
      <c r="O140">
        <v>19</v>
      </c>
      <c r="P140">
        <v>2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73.5</v>
      </c>
      <c r="Y140">
        <v>71.8</v>
      </c>
      <c r="Z140">
        <v>0</v>
      </c>
      <c r="AA140">
        <v>5</v>
      </c>
    </row>
    <row r="141" spans="1:27" x14ac:dyDescent="0.25">
      <c r="A141" t="s">
        <v>206</v>
      </c>
      <c r="B141" t="s">
        <v>79</v>
      </c>
      <c r="C141" t="s">
        <v>205</v>
      </c>
      <c r="D141" t="s">
        <v>6</v>
      </c>
      <c r="E141">
        <v>4</v>
      </c>
      <c r="F141" t="s">
        <v>92</v>
      </c>
      <c r="G141">
        <v>791</v>
      </c>
      <c r="H141">
        <v>65.92</v>
      </c>
      <c r="I141">
        <v>12</v>
      </c>
      <c r="J141">
        <v>8</v>
      </c>
      <c r="K141">
        <v>4</v>
      </c>
      <c r="L141">
        <v>460</v>
      </c>
      <c r="M141">
        <v>161</v>
      </c>
      <c r="N141">
        <v>7</v>
      </c>
      <c r="O141">
        <v>102</v>
      </c>
      <c r="P141">
        <v>7</v>
      </c>
      <c r="Q141">
        <v>1</v>
      </c>
      <c r="R141">
        <v>1</v>
      </c>
      <c r="S141">
        <v>6</v>
      </c>
      <c r="T141">
        <v>1</v>
      </c>
      <c r="U141">
        <v>1</v>
      </c>
      <c r="V141">
        <v>1</v>
      </c>
      <c r="W141">
        <v>1</v>
      </c>
      <c r="X141">
        <v>36.200000000000003</v>
      </c>
      <c r="Y141">
        <v>69.849999999999994</v>
      </c>
      <c r="Z141">
        <v>847</v>
      </c>
      <c r="AA141">
        <v>5</v>
      </c>
    </row>
    <row r="142" spans="1:27" x14ac:dyDescent="0.25">
      <c r="A142" t="s">
        <v>198</v>
      </c>
      <c r="B142" t="s">
        <v>79</v>
      </c>
      <c r="C142" t="s">
        <v>207</v>
      </c>
      <c r="D142" t="s">
        <v>6</v>
      </c>
      <c r="E142">
        <v>9</v>
      </c>
      <c r="F142" t="s">
        <v>92</v>
      </c>
      <c r="G142">
        <v>277.5</v>
      </c>
      <c r="H142">
        <v>46.25</v>
      </c>
      <c r="I142">
        <v>6</v>
      </c>
      <c r="J142">
        <v>2</v>
      </c>
      <c r="K142">
        <v>4</v>
      </c>
      <c r="L142">
        <v>181</v>
      </c>
      <c r="M142">
        <v>63</v>
      </c>
      <c r="N142">
        <v>2</v>
      </c>
      <c r="O142">
        <v>34</v>
      </c>
      <c r="P142">
        <v>8</v>
      </c>
      <c r="Q142">
        <v>0</v>
      </c>
      <c r="R142">
        <v>0</v>
      </c>
      <c r="S142">
        <v>1</v>
      </c>
      <c r="T142">
        <v>0</v>
      </c>
      <c r="U142">
        <v>0</v>
      </c>
      <c r="V142">
        <v>0</v>
      </c>
      <c r="W142">
        <v>0</v>
      </c>
      <c r="X142">
        <v>60</v>
      </c>
      <c r="Y142">
        <v>70.31</v>
      </c>
      <c r="Z142">
        <v>67</v>
      </c>
      <c r="AA142">
        <v>5</v>
      </c>
    </row>
    <row r="143" spans="1:27" x14ac:dyDescent="0.25">
      <c r="A143" t="s">
        <v>214</v>
      </c>
      <c r="B143" t="s">
        <v>79</v>
      </c>
      <c r="C143" t="s">
        <v>199</v>
      </c>
      <c r="D143" t="s">
        <v>6</v>
      </c>
      <c r="E143">
        <v>3</v>
      </c>
      <c r="F143" t="s">
        <v>81</v>
      </c>
      <c r="G143">
        <v>756.5</v>
      </c>
      <c r="H143">
        <v>75.650000000000006</v>
      </c>
      <c r="I143">
        <v>10</v>
      </c>
      <c r="J143">
        <v>10</v>
      </c>
      <c r="K143">
        <v>0</v>
      </c>
      <c r="L143">
        <v>410</v>
      </c>
      <c r="M143">
        <v>166</v>
      </c>
      <c r="N143">
        <v>7</v>
      </c>
      <c r="O143">
        <v>99</v>
      </c>
      <c r="P143">
        <v>20</v>
      </c>
      <c r="Q143">
        <v>0</v>
      </c>
      <c r="R143">
        <v>0</v>
      </c>
      <c r="S143">
        <v>5</v>
      </c>
      <c r="T143">
        <v>4</v>
      </c>
      <c r="U143">
        <v>2</v>
      </c>
      <c r="V143">
        <v>1</v>
      </c>
      <c r="W143">
        <v>0</v>
      </c>
      <c r="X143">
        <v>29.5</v>
      </c>
      <c r="Y143">
        <v>70.33</v>
      </c>
      <c r="Z143">
        <v>847</v>
      </c>
      <c r="AA143">
        <v>5</v>
      </c>
    </row>
    <row r="144" spans="1:27" x14ac:dyDescent="0.25">
      <c r="A144" t="s">
        <v>192</v>
      </c>
      <c r="B144" t="s">
        <v>79</v>
      </c>
      <c r="C144" t="s">
        <v>215</v>
      </c>
      <c r="D144" t="s">
        <v>6</v>
      </c>
      <c r="E144">
        <v>9</v>
      </c>
      <c r="F144" t="s">
        <v>92</v>
      </c>
      <c r="G144">
        <v>254.5</v>
      </c>
      <c r="H144">
        <v>63.62</v>
      </c>
      <c r="I144">
        <v>4</v>
      </c>
      <c r="J144">
        <v>4</v>
      </c>
      <c r="K144">
        <v>0</v>
      </c>
      <c r="L144">
        <v>176</v>
      </c>
      <c r="M144">
        <v>63</v>
      </c>
      <c r="N144">
        <v>0</v>
      </c>
      <c r="O144">
        <v>45</v>
      </c>
      <c r="P144">
        <v>4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54</v>
      </c>
      <c r="Y144">
        <v>70.63</v>
      </c>
      <c r="Z144">
        <v>34</v>
      </c>
      <c r="AA144">
        <v>5</v>
      </c>
    </row>
    <row r="145" spans="1:27" x14ac:dyDescent="0.25">
      <c r="A145" t="s">
        <v>220</v>
      </c>
      <c r="B145" t="s">
        <v>79</v>
      </c>
      <c r="C145" t="s">
        <v>193</v>
      </c>
      <c r="D145" t="s">
        <v>6</v>
      </c>
      <c r="E145">
        <v>2</v>
      </c>
      <c r="F145" t="s">
        <v>81</v>
      </c>
      <c r="G145">
        <v>751</v>
      </c>
      <c r="H145">
        <v>83.44</v>
      </c>
      <c r="I145">
        <v>9</v>
      </c>
      <c r="J145">
        <v>9</v>
      </c>
      <c r="K145">
        <v>0</v>
      </c>
      <c r="L145">
        <v>404</v>
      </c>
      <c r="M145">
        <v>142</v>
      </c>
      <c r="N145">
        <v>9</v>
      </c>
      <c r="O145">
        <v>68</v>
      </c>
      <c r="P145">
        <v>7</v>
      </c>
      <c r="Q145">
        <v>0</v>
      </c>
      <c r="R145">
        <v>0</v>
      </c>
      <c r="S145">
        <v>8</v>
      </c>
      <c r="T145">
        <v>5</v>
      </c>
      <c r="U145">
        <v>2</v>
      </c>
      <c r="V145">
        <v>2</v>
      </c>
      <c r="W145">
        <v>0</v>
      </c>
      <c r="X145">
        <v>13.2</v>
      </c>
      <c r="Y145">
        <v>69.31</v>
      </c>
      <c r="Z145" s="6">
        <v>1496</v>
      </c>
      <c r="AA145">
        <v>5</v>
      </c>
    </row>
    <row r="146" spans="1:27" x14ac:dyDescent="0.25">
      <c r="A146" t="s">
        <v>176</v>
      </c>
      <c r="B146" t="s">
        <v>79</v>
      </c>
      <c r="C146" t="s">
        <v>221</v>
      </c>
      <c r="D146" t="s">
        <v>6</v>
      </c>
      <c r="E146">
        <v>7</v>
      </c>
      <c r="F146" t="s">
        <v>92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5</v>
      </c>
    </row>
    <row r="147" spans="1:27" x14ac:dyDescent="0.25">
      <c r="A147" t="s">
        <v>176</v>
      </c>
      <c r="B147" t="s">
        <v>79</v>
      </c>
      <c r="C147" t="s">
        <v>177</v>
      </c>
      <c r="D147" t="s">
        <v>3</v>
      </c>
      <c r="E147">
        <v>5</v>
      </c>
      <c r="F147" t="s">
        <v>81</v>
      </c>
      <c r="G147">
        <v>561.5</v>
      </c>
      <c r="H147">
        <v>62.39</v>
      </c>
      <c r="I147">
        <v>9</v>
      </c>
      <c r="J147">
        <v>7</v>
      </c>
      <c r="K147">
        <v>2</v>
      </c>
      <c r="L147">
        <v>371</v>
      </c>
      <c r="M147">
        <v>125</v>
      </c>
      <c r="N147">
        <v>2</v>
      </c>
      <c r="O147">
        <v>66</v>
      </c>
      <c r="P147">
        <v>11</v>
      </c>
      <c r="Q147">
        <v>1</v>
      </c>
      <c r="R147">
        <v>1</v>
      </c>
      <c r="S147">
        <v>2</v>
      </c>
      <c r="T147">
        <v>1</v>
      </c>
      <c r="U147">
        <v>1</v>
      </c>
      <c r="V147">
        <v>0</v>
      </c>
      <c r="W147">
        <v>0</v>
      </c>
      <c r="X147">
        <v>42</v>
      </c>
      <c r="Y147">
        <v>70.31</v>
      </c>
      <c r="Z147">
        <v>509</v>
      </c>
      <c r="AA147">
        <v>6</v>
      </c>
    </row>
    <row r="148" spans="1:27" x14ac:dyDescent="0.25">
      <c r="A148" t="s">
        <v>186</v>
      </c>
      <c r="B148" t="s">
        <v>79</v>
      </c>
      <c r="C148" t="s">
        <v>187</v>
      </c>
      <c r="D148" t="s">
        <v>3</v>
      </c>
      <c r="E148">
        <v>12</v>
      </c>
      <c r="F148" t="s">
        <v>103</v>
      </c>
      <c r="G148">
        <v>49</v>
      </c>
      <c r="H148">
        <v>24.5</v>
      </c>
      <c r="I148">
        <v>2</v>
      </c>
      <c r="J148">
        <v>0</v>
      </c>
      <c r="K148">
        <v>2</v>
      </c>
      <c r="L148">
        <v>51</v>
      </c>
      <c r="M148">
        <v>10</v>
      </c>
      <c r="N148">
        <v>0</v>
      </c>
      <c r="O148">
        <v>9</v>
      </c>
      <c r="P148">
        <v>2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75.5</v>
      </c>
      <c r="Y148">
        <v>71.25</v>
      </c>
      <c r="Z148">
        <v>0</v>
      </c>
      <c r="AA148">
        <v>6</v>
      </c>
    </row>
    <row r="149" spans="1:27" x14ac:dyDescent="0.25">
      <c r="A149" t="s">
        <v>385</v>
      </c>
      <c r="B149" t="s">
        <v>79</v>
      </c>
      <c r="C149" t="s">
        <v>386</v>
      </c>
      <c r="D149" t="s">
        <v>3</v>
      </c>
      <c r="E149">
        <v>16</v>
      </c>
      <c r="F149" t="s">
        <v>92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6</v>
      </c>
    </row>
    <row r="150" spans="1:27" x14ac:dyDescent="0.25">
      <c r="A150" t="s">
        <v>174</v>
      </c>
      <c r="B150" t="s">
        <v>79</v>
      </c>
      <c r="C150" t="s">
        <v>175</v>
      </c>
      <c r="D150" t="s">
        <v>3</v>
      </c>
      <c r="E150">
        <v>2</v>
      </c>
      <c r="F150" t="s">
        <v>92</v>
      </c>
      <c r="G150">
        <v>482</v>
      </c>
      <c r="H150">
        <v>53.56</v>
      </c>
      <c r="I150">
        <v>9</v>
      </c>
      <c r="J150">
        <v>5</v>
      </c>
      <c r="K150">
        <v>4</v>
      </c>
      <c r="L150">
        <v>289</v>
      </c>
      <c r="M150">
        <v>112</v>
      </c>
      <c r="N150">
        <v>2</v>
      </c>
      <c r="O150">
        <v>75</v>
      </c>
      <c r="P150">
        <v>7</v>
      </c>
      <c r="Q150">
        <v>1</v>
      </c>
      <c r="R150">
        <v>1</v>
      </c>
      <c r="S150">
        <v>2</v>
      </c>
      <c r="T150">
        <v>2</v>
      </c>
      <c r="U150">
        <v>0</v>
      </c>
      <c r="V150">
        <v>0</v>
      </c>
      <c r="W150">
        <v>0</v>
      </c>
      <c r="X150">
        <v>44.7</v>
      </c>
      <c r="Y150">
        <v>70.7</v>
      </c>
      <c r="Z150">
        <v>239</v>
      </c>
      <c r="AA150">
        <v>6</v>
      </c>
    </row>
    <row r="151" spans="1:27" x14ac:dyDescent="0.25">
      <c r="A151" t="s">
        <v>168</v>
      </c>
      <c r="B151" t="s">
        <v>79</v>
      </c>
      <c r="C151" t="s">
        <v>169</v>
      </c>
      <c r="D151" t="s">
        <v>3</v>
      </c>
      <c r="E151">
        <v>4</v>
      </c>
      <c r="F151" t="s">
        <v>81</v>
      </c>
      <c r="G151">
        <v>680</v>
      </c>
      <c r="H151">
        <v>61.82</v>
      </c>
      <c r="I151">
        <v>11</v>
      </c>
      <c r="J151">
        <v>9</v>
      </c>
      <c r="K151">
        <v>2</v>
      </c>
      <c r="L151">
        <v>443</v>
      </c>
      <c r="M151">
        <v>151</v>
      </c>
      <c r="N151">
        <v>2</v>
      </c>
      <c r="O151">
        <v>95</v>
      </c>
      <c r="P151">
        <v>10</v>
      </c>
      <c r="Q151">
        <v>1</v>
      </c>
      <c r="R151">
        <v>1</v>
      </c>
      <c r="S151">
        <v>5</v>
      </c>
      <c r="T151">
        <v>1</v>
      </c>
      <c r="U151">
        <v>1</v>
      </c>
      <c r="V151">
        <v>1</v>
      </c>
      <c r="W151">
        <v>0</v>
      </c>
      <c r="X151">
        <v>37.5</v>
      </c>
      <c r="Y151">
        <v>70.38</v>
      </c>
      <c r="Z151">
        <v>749</v>
      </c>
      <c r="AA151">
        <v>6</v>
      </c>
    </row>
    <row r="152" spans="1:27" x14ac:dyDescent="0.25">
      <c r="A152" t="s">
        <v>166</v>
      </c>
      <c r="B152" t="s">
        <v>79</v>
      </c>
      <c r="C152" t="s">
        <v>167</v>
      </c>
      <c r="D152" t="s">
        <v>3</v>
      </c>
      <c r="E152">
        <v>6</v>
      </c>
      <c r="F152" t="s">
        <v>81</v>
      </c>
      <c r="G152">
        <v>670</v>
      </c>
      <c r="H152">
        <v>67</v>
      </c>
      <c r="I152">
        <v>10</v>
      </c>
      <c r="J152">
        <v>9</v>
      </c>
      <c r="K152">
        <v>1</v>
      </c>
      <c r="L152">
        <v>430</v>
      </c>
      <c r="M152">
        <v>141</v>
      </c>
      <c r="N152">
        <v>6</v>
      </c>
      <c r="O152">
        <v>102</v>
      </c>
      <c r="P152">
        <v>5</v>
      </c>
      <c r="Q152">
        <v>0</v>
      </c>
      <c r="R152">
        <v>0</v>
      </c>
      <c r="S152">
        <v>6</v>
      </c>
      <c r="T152">
        <v>2</v>
      </c>
      <c r="U152">
        <v>0</v>
      </c>
      <c r="V152">
        <v>0</v>
      </c>
      <c r="W152">
        <v>0</v>
      </c>
      <c r="X152">
        <v>30.5</v>
      </c>
      <c r="Y152">
        <v>70.290000000000006</v>
      </c>
      <c r="Z152">
        <v>698</v>
      </c>
      <c r="AA152">
        <v>6</v>
      </c>
    </row>
    <row r="153" spans="1:27" x14ac:dyDescent="0.25">
      <c r="A153" t="s">
        <v>170</v>
      </c>
      <c r="B153" t="s">
        <v>79</v>
      </c>
      <c r="C153" t="s">
        <v>171</v>
      </c>
      <c r="D153" t="s">
        <v>3</v>
      </c>
      <c r="E153">
        <v>7</v>
      </c>
      <c r="F153" t="s">
        <v>92</v>
      </c>
      <c r="G153">
        <v>281</v>
      </c>
      <c r="H153">
        <v>70.25</v>
      </c>
      <c r="I153">
        <v>4</v>
      </c>
      <c r="J153">
        <v>4</v>
      </c>
      <c r="K153">
        <v>0</v>
      </c>
      <c r="L153">
        <v>182</v>
      </c>
      <c r="M153">
        <v>58</v>
      </c>
      <c r="N153">
        <v>1</v>
      </c>
      <c r="O153">
        <v>26</v>
      </c>
      <c r="P153">
        <v>2</v>
      </c>
      <c r="Q153">
        <v>1</v>
      </c>
      <c r="R153">
        <v>1</v>
      </c>
      <c r="S153">
        <v>3</v>
      </c>
      <c r="T153">
        <v>2</v>
      </c>
      <c r="U153">
        <v>0</v>
      </c>
      <c r="V153">
        <v>0</v>
      </c>
      <c r="W153">
        <v>0</v>
      </c>
      <c r="X153">
        <v>29.5</v>
      </c>
      <c r="Y153">
        <v>69.400000000000006</v>
      </c>
      <c r="Z153">
        <v>206</v>
      </c>
      <c r="AA153">
        <v>6</v>
      </c>
    </row>
    <row r="154" spans="1:27" x14ac:dyDescent="0.25">
      <c r="A154" t="s">
        <v>162</v>
      </c>
      <c r="B154" t="s">
        <v>79</v>
      </c>
      <c r="C154" t="s">
        <v>163</v>
      </c>
      <c r="D154" t="s">
        <v>3</v>
      </c>
      <c r="E154">
        <v>3</v>
      </c>
      <c r="F154" t="s">
        <v>81</v>
      </c>
      <c r="G154">
        <v>715.5</v>
      </c>
      <c r="H154">
        <v>71.55</v>
      </c>
      <c r="I154">
        <v>10</v>
      </c>
      <c r="J154">
        <v>8</v>
      </c>
      <c r="K154">
        <v>2</v>
      </c>
      <c r="L154">
        <v>373</v>
      </c>
      <c r="M154">
        <v>160</v>
      </c>
      <c r="N154">
        <v>6</v>
      </c>
      <c r="O154">
        <v>74</v>
      </c>
      <c r="P154">
        <v>15</v>
      </c>
      <c r="Q154">
        <v>2</v>
      </c>
      <c r="R154">
        <v>2</v>
      </c>
      <c r="S154">
        <v>5</v>
      </c>
      <c r="T154">
        <v>4</v>
      </c>
      <c r="U154">
        <v>1</v>
      </c>
      <c r="V154">
        <v>1</v>
      </c>
      <c r="W154">
        <v>0</v>
      </c>
      <c r="X154">
        <v>29.9</v>
      </c>
      <c r="Y154">
        <v>69.709999999999994</v>
      </c>
      <c r="Z154">
        <v>783</v>
      </c>
      <c r="AA154">
        <v>6</v>
      </c>
    </row>
    <row r="155" spans="1:27" x14ac:dyDescent="0.25">
      <c r="A155" t="s">
        <v>144</v>
      </c>
      <c r="B155" t="s">
        <v>79</v>
      </c>
      <c r="C155" t="s">
        <v>145</v>
      </c>
      <c r="D155" t="s">
        <v>3</v>
      </c>
      <c r="E155">
        <v>16</v>
      </c>
      <c r="F155" t="s">
        <v>81</v>
      </c>
      <c r="G155">
        <v>67</v>
      </c>
      <c r="H155">
        <v>67</v>
      </c>
      <c r="I155">
        <v>1</v>
      </c>
      <c r="J155">
        <v>1</v>
      </c>
      <c r="K155">
        <v>0</v>
      </c>
      <c r="L155">
        <v>43</v>
      </c>
      <c r="M155">
        <v>16</v>
      </c>
      <c r="N155">
        <v>0</v>
      </c>
      <c r="O155">
        <v>11</v>
      </c>
      <c r="P155">
        <v>2</v>
      </c>
      <c r="Q155">
        <v>0</v>
      </c>
      <c r="R155">
        <v>0</v>
      </c>
      <c r="S155">
        <v>1</v>
      </c>
      <c r="T155">
        <v>0</v>
      </c>
      <c r="U155">
        <v>0</v>
      </c>
      <c r="V155">
        <v>0</v>
      </c>
      <c r="W155">
        <v>0</v>
      </c>
      <c r="X155">
        <v>16</v>
      </c>
      <c r="Y155">
        <v>70.75</v>
      </c>
      <c r="Z155">
        <v>110</v>
      </c>
      <c r="AA155">
        <v>6</v>
      </c>
    </row>
    <row r="156" spans="1:27" x14ac:dyDescent="0.25">
      <c r="A156" t="s">
        <v>190</v>
      </c>
      <c r="B156" t="s">
        <v>79</v>
      </c>
      <c r="C156" t="s">
        <v>191</v>
      </c>
      <c r="D156" t="s">
        <v>3</v>
      </c>
      <c r="E156">
        <v>15</v>
      </c>
      <c r="F156" t="s">
        <v>103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6</v>
      </c>
    </row>
    <row r="157" spans="1:27" x14ac:dyDescent="0.25">
      <c r="A157" t="s">
        <v>184</v>
      </c>
      <c r="B157" t="s">
        <v>79</v>
      </c>
      <c r="C157" t="s">
        <v>185</v>
      </c>
      <c r="D157" t="s">
        <v>3</v>
      </c>
      <c r="E157">
        <v>11</v>
      </c>
      <c r="F157" t="s">
        <v>103</v>
      </c>
      <c r="G157">
        <v>107</v>
      </c>
      <c r="H157">
        <v>35.67</v>
      </c>
      <c r="I157">
        <v>3</v>
      </c>
      <c r="J157">
        <v>1</v>
      </c>
      <c r="K157">
        <v>2</v>
      </c>
      <c r="L157">
        <v>93</v>
      </c>
      <c r="M157">
        <v>25</v>
      </c>
      <c r="N157">
        <v>0</v>
      </c>
      <c r="O157">
        <v>23</v>
      </c>
      <c r="P157">
        <v>3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66.3</v>
      </c>
      <c r="Y157">
        <v>71.75</v>
      </c>
      <c r="Z157">
        <v>7</v>
      </c>
      <c r="AA157">
        <v>6</v>
      </c>
    </row>
    <row r="158" spans="1:27" x14ac:dyDescent="0.25">
      <c r="A158" t="s">
        <v>164</v>
      </c>
      <c r="B158" t="s">
        <v>79</v>
      </c>
      <c r="C158" t="s">
        <v>165</v>
      </c>
      <c r="D158" t="s">
        <v>3</v>
      </c>
      <c r="E158">
        <v>1</v>
      </c>
      <c r="F158" t="s">
        <v>81</v>
      </c>
      <c r="G158">
        <v>875</v>
      </c>
      <c r="H158">
        <v>87.5</v>
      </c>
      <c r="I158">
        <v>10</v>
      </c>
      <c r="J158">
        <v>10</v>
      </c>
      <c r="K158">
        <v>0</v>
      </c>
      <c r="L158">
        <v>458</v>
      </c>
      <c r="M158">
        <v>163</v>
      </c>
      <c r="N158">
        <v>9</v>
      </c>
      <c r="O158">
        <v>66</v>
      </c>
      <c r="P158">
        <v>5</v>
      </c>
      <c r="Q158">
        <v>1</v>
      </c>
      <c r="R158">
        <v>1</v>
      </c>
      <c r="S158">
        <v>9</v>
      </c>
      <c r="T158">
        <v>7</v>
      </c>
      <c r="U158">
        <v>5</v>
      </c>
      <c r="V158">
        <v>3</v>
      </c>
      <c r="W158">
        <v>0</v>
      </c>
      <c r="X158">
        <v>13</v>
      </c>
      <c r="Y158">
        <v>68.97</v>
      </c>
      <c r="Z158">
        <v>1760</v>
      </c>
      <c r="AA158">
        <v>6</v>
      </c>
    </row>
    <row r="159" spans="1:27" x14ac:dyDescent="0.25">
      <c r="A159" t="s">
        <v>172</v>
      </c>
      <c r="B159" t="s">
        <v>79</v>
      </c>
      <c r="C159" t="s">
        <v>173</v>
      </c>
      <c r="D159" t="s">
        <v>3</v>
      </c>
      <c r="E159">
        <v>10</v>
      </c>
      <c r="F159" t="s">
        <v>92</v>
      </c>
      <c r="G159">
        <v>347.5</v>
      </c>
      <c r="H159">
        <v>69.5</v>
      </c>
      <c r="I159">
        <v>5</v>
      </c>
      <c r="J159">
        <v>4</v>
      </c>
      <c r="K159">
        <v>1</v>
      </c>
      <c r="L159">
        <v>217</v>
      </c>
      <c r="M159">
        <v>82</v>
      </c>
      <c r="N159">
        <v>0</v>
      </c>
      <c r="O159">
        <v>38</v>
      </c>
      <c r="P159">
        <v>5</v>
      </c>
      <c r="Q159">
        <v>0</v>
      </c>
      <c r="R159">
        <v>0</v>
      </c>
      <c r="S159">
        <v>2</v>
      </c>
      <c r="T159">
        <v>1</v>
      </c>
      <c r="U159">
        <v>0</v>
      </c>
      <c r="V159">
        <v>0</v>
      </c>
      <c r="W159">
        <v>0</v>
      </c>
      <c r="X159">
        <v>37</v>
      </c>
      <c r="Y159">
        <v>69.58</v>
      </c>
      <c r="Z159">
        <v>152</v>
      </c>
      <c r="AA159">
        <v>6</v>
      </c>
    </row>
    <row r="160" spans="1:27" x14ac:dyDescent="0.25">
      <c r="A160" t="s">
        <v>178</v>
      </c>
      <c r="B160" t="s">
        <v>79</v>
      </c>
      <c r="C160" t="s">
        <v>179</v>
      </c>
      <c r="D160" t="s">
        <v>3</v>
      </c>
      <c r="E160">
        <v>8</v>
      </c>
      <c r="F160" t="s">
        <v>92</v>
      </c>
      <c r="G160">
        <v>381</v>
      </c>
      <c r="H160">
        <v>54.43</v>
      </c>
      <c r="I160">
        <v>7</v>
      </c>
      <c r="J160">
        <v>3</v>
      </c>
      <c r="K160">
        <v>4</v>
      </c>
      <c r="L160">
        <v>233</v>
      </c>
      <c r="M160">
        <v>88</v>
      </c>
      <c r="N160">
        <v>0</v>
      </c>
      <c r="O160">
        <v>49</v>
      </c>
      <c r="P160">
        <v>6</v>
      </c>
      <c r="Q160">
        <v>2</v>
      </c>
      <c r="R160">
        <v>2</v>
      </c>
      <c r="S160">
        <v>2</v>
      </c>
      <c r="T160">
        <v>1</v>
      </c>
      <c r="U160">
        <v>1</v>
      </c>
      <c r="V160">
        <v>1</v>
      </c>
      <c r="W160">
        <v>0</v>
      </c>
      <c r="X160">
        <v>45.1</v>
      </c>
      <c r="Y160">
        <v>70</v>
      </c>
      <c r="Z160">
        <v>234</v>
      </c>
      <c r="AA160">
        <v>6</v>
      </c>
    </row>
    <row r="161" spans="1:27" x14ac:dyDescent="0.25">
      <c r="A161" t="s">
        <v>182</v>
      </c>
      <c r="B161" t="s">
        <v>79</v>
      </c>
      <c r="C161" t="s">
        <v>183</v>
      </c>
      <c r="D161" t="s">
        <v>3</v>
      </c>
      <c r="E161">
        <v>16</v>
      </c>
      <c r="F161" t="s">
        <v>92</v>
      </c>
      <c r="G161">
        <v>140</v>
      </c>
      <c r="H161">
        <v>35</v>
      </c>
      <c r="I161">
        <v>4</v>
      </c>
      <c r="J161">
        <v>1</v>
      </c>
      <c r="K161">
        <v>3</v>
      </c>
      <c r="L161">
        <v>125</v>
      </c>
      <c r="M161">
        <v>28</v>
      </c>
      <c r="N161">
        <v>1</v>
      </c>
      <c r="O161">
        <v>23</v>
      </c>
      <c r="P161">
        <v>2</v>
      </c>
      <c r="Q161">
        <v>1</v>
      </c>
      <c r="R161">
        <v>1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67.5</v>
      </c>
      <c r="Y161">
        <v>70.900000000000006</v>
      </c>
      <c r="Z161">
        <v>6</v>
      </c>
      <c r="AA161">
        <v>6</v>
      </c>
    </row>
    <row r="162" spans="1:27" x14ac:dyDescent="0.25">
      <c r="A162" t="s">
        <v>160</v>
      </c>
      <c r="B162" t="s">
        <v>79</v>
      </c>
      <c r="C162" t="s">
        <v>161</v>
      </c>
      <c r="D162" t="s">
        <v>3</v>
      </c>
      <c r="E162">
        <v>9</v>
      </c>
      <c r="F162" t="s">
        <v>92</v>
      </c>
      <c r="G162">
        <v>495.5</v>
      </c>
      <c r="H162">
        <v>55.06</v>
      </c>
      <c r="I162">
        <v>9</v>
      </c>
      <c r="J162">
        <v>6</v>
      </c>
      <c r="K162">
        <v>3</v>
      </c>
      <c r="L162">
        <v>344</v>
      </c>
      <c r="M162">
        <v>112</v>
      </c>
      <c r="N162">
        <v>1</v>
      </c>
      <c r="O162">
        <v>57</v>
      </c>
      <c r="P162">
        <v>7</v>
      </c>
      <c r="Q162">
        <v>1</v>
      </c>
      <c r="R162">
        <v>1</v>
      </c>
      <c r="S162">
        <v>2</v>
      </c>
      <c r="T162">
        <v>0</v>
      </c>
      <c r="U162">
        <v>0</v>
      </c>
      <c r="V162">
        <v>0</v>
      </c>
      <c r="W162">
        <v>0</v>
      </c>
      <c r="X162">
        <v>48.7</v>
      </c>
      <c r="Y162">
        <v>69.790000000000006</v>
      </c>
      <c r="Z162">
        <v>153</v>
      </c>
      <c r="AA162">
        <v>6</v>
      </c>
    </row>
    <row r="163" spans="1:27" x14ac:dyDescent="0.25">
      <c r="A163" t="s">
        <v>372</v>
      </c>
      <c r="B163" t="s">
        <v>79</v>
      </c>
      <c r="C163" t="s">
        <v>373</v>
      </c>
      <c r="D163" t="s">
        <v>3</v>
      </c>
      <c r="E163">
        <v>16</v>
      </c>
      <c r="F163" t="s">
        <v>92</v>
      </c>
      <c r="G163">
        <v>104.5</v>
      </c>
      <c r="H163">
        <v>34.83</v>
      </c>
      <c r="I163">
        <v>3</v>
      </c>
      <c r="J163">
        <v>1</v>
      </c>
      <c r="K163">
        <v>2</v>
      </c>
      <c r="L163">
        <v>100</v>
      </c>
      <c r="M163">
        <v>22</v>
      </c>
      <c r="N163">
        <v>0</v>
      </c>
      <c r="O163">
        <v>19</v>
      </c>
      <c r="P163">
        <v>3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64.7</v>
      </c>
      <c r="Y163">
        <v>71.13</v>
      </c>
      <c r="Z163">
        <v>9</v>
      </c>
      <c r="AA163">
        <v>6</v>
      </c>
    </row>
    <row r="164" spans="1:27" x14ac:dyDescent="0.25">
      <c r="A164" t="s">
        <v>344</v>
      </c>
      <c r="B164" t="s">
        <v>79</v>
      </c>
      <c r="C164" t="s">
        <v>345</v>
      </c>
      <c r="D164" t="s">
        <v>3</v>
      </c>
      <c r="E164">
        <v>16</v>
      </c>
      <c r="F164" t="s">
        <v>92</v>
      </c>
      <c r="G164">
        <v>36.5</v>
      </c>
      <c r="H164">
        <v>36.5</v>
      </c>
      <c r="I164">
        <v>1</v>
      </c>
      <c r="J164">
        <v>0</v>
      </c>
      <c r="K164">
        <v>1</v>
      </c>
      <c r="L164">
        <v>23</v>
      </c>
      <c r="M164">
        <v>9</v>
      </c>
      <c r="N164">
        <v>0</v>
      </c>
      <c r="O164">
        <v>4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66</v>
      </c>
      <c r="Y164">
        <v>68.5</v>
      </c>
      <c r="Z164">
        <v>0</v>
      </c>
      <c r="AA164">
        <v>6</v>
      </c>
    </row>
    <row r="165" spans="1:27" x14ac:dyDescent="0.25">
      <c r="A165" t="s">
        <v>180</v>
      </c>
      <c r="B165" t="s">
        <v>79</v>
      </c>
      <c r="C165" t="s">
        <v>181</v>
      </c>
      <c r="D165" t="s">
        <v>3</v>
      </c>
      <c r="E165">
        <v>14</v>
      </c>
      <c r="F165" t="s">
        <v>103</v>
      </c>
      <c r="G165">
        <v>111</v>
      </c>
      <c r="H165">
        <v>55.5</v>
      </c>
      <c r="I165">
        <v>2</v>
      </c>
      <c r="J165">
        <v>1</v>
      </c>
      <c r="K165">
        <v>1</v>
      </c>
      <c r="L165">
        <v>63</v>
      </c>
      <c r="M165">
        <v>26</v>
      </c>
      <c r="N165">
        <v>1</v>
      </c>
      <c r="O165">
        <v>17</v>
      </c>
      <c r="P165">
        <v>1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47</v>
      </c>
      <c r="Y165">
        <v>69.5</v>
      </c>
      <c r="Z165">
        <v>27</v>
      </c>
      <c r="AA165">
        <v>6</v>
      </c>
    </row>
    <row r="166" spans="1:27" x14ac:dyDescent="0.25">
      <c r="A166" t="s">
        <v>188</v>
      </c>
      <c r="B166" t="s">
        <v>79</v>
      </c>
      <c r="C166" t="s">
        <v>189</v>
      </c>
      <c r="D166" t="s">
        <v>3</v>
      </c>
      <c r="E166">
        <v>13</v>
      </c>
      <c r="F166" t="s">
        <v>103</v>
      </c>
      <c r="G166">
        <v>20.5</v>
      </c>
      <c r="H166">
        <v>20.5</v>
      </c>
      <c r="I166">
        <v>1</v>
      </c>
      <c r="J166">
        <v>0</v>
      </c>
      <c r="K166">
        <v>1</v>
      </c>
      <c r="L166">
        <v>25</v>
      </c>
      <c r="M166">
        <v>4</v>
      </c>
      <c r="N166">
        <v>0</v>
      </c>
      <c r="O166">
        <v>6</v>
      </c>
      <c r="P166">
        <v>0</v>
      </c>
      <c r="Q166">
        <v>1</v>
      </c>
      <c r="R166">
        <v>1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69</v>
      </c>
      <c r="Y166">
        <v>73.5</v>
      </c>
      <c r="Z166">
        <v>0</v>
      </c>
      <c r="AA166">
        <v>6</v>
      </c>
    </row>
  </sheetData>
  <autoFilter ref="A1:Z164" xr:uid="{DE44CC28-F2F8-4E9B-AEFD-962365C51F8C}"/>
  <sortState xmlns:xlrd2="http://schemas.microsoft.com/office/spreadsheetml/2017/richdata2" ref="A2:AA164">
    <sortCondition descending="1" ref="D2:D164"/>
    <sortCondition ref="A2:A164"/>
  </sortState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3DA93-FC22-43CB-B2B4-D5796CF0E7B6}">
  <dimension ref="A1:N9"/>
  <sheetViews>
    <sheetView workbookViewId="0">
      <selection sqref="A1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282</v>
      </c>
      <c r="D2">
        <v>100</v>
      </c>
      <c r="E2">
        <v>7</v>
      </c>
      <c r="F2">
        <v>42</v>
      </c>
      <c r="G2">
        <v>1</v>
      </c>
      <c r="H2">
        <v>0</v>
      </c>
      <c r="I2">
        <v>0</v>
      </c>
      <c r="J2">
        <v>0</v>
      </c>
      <c r="K2">
        <v>106</v>
      </c>
      <c r="L2">
        <v>1</v>
      </c>
      <c r="M2">
        <v>1</v>
      </c>
      <c r="N2" t="s">
        <v>1</v>
      </c>
    </row>
    <row r="3" spans="1:14" x14ac:dyDescent="0.25">
      <c r="A3" t="s">
        <v>5</v>
      </c>
      <c r="B3">
        <v>6</v>
      </c>
      <c r="C3">
        <v>284</v>
      </c>
      <c r="D3">
        <v>93</v>
      </c>
      <c r="E3">
        <v>4</v>
      </c>
      <c r="F3">
        <v>51</v>
      </c>
      <c r="G3">
        <v>0</v>
      </c>
      <c r="H3">
        <v>0</v>
      </c>
      <c r="I3">
        <v>0</v>
      </c>
      <c r="J3">
        <v>0</v>
      </c>
      <c r="K3">
        <v>232</v>
      </c>
      <c r="L3">
        <v>1</v>
      </c>
      <c r="M3">
        <v>1</v>
      </c>
      <c r="N3" t="s">
        <v>6</v>
      </c>
    </row>
    <row r="4" spans="1:14" x14ac:dyDescent="0.25">
      <c r="A4" t="s">
        <v>1</v>
      </c>
      <c r="B4">
        <v>6</v>
      </c>
      <c r="C4">
        <v>278</v>
      </c>
      <c r="D4">
        <v>98</v>
      </c>
      <c r="E4">
        <v>3</v>
      </c>
      <c r="F4">
        <v>49</v>
      </c>
      <c r="G4">
        <v>4</v>
      </c>
      <c r="H4">
        <v>0</v>
      </c>
      <c r="I4">
        <v>0</v>
      </c>
      <c r="J4">
        <v>0</v>
      </c>
      <c r="K4">
        <v>257</v>
      </c>
      <c r="L4">
        <v>1</v>
      </c>
      <c r="M4">
        <v>0</v>
      </c>
      <c r="N4" t="s">
        <v>2</v>
      </c>
    </row>
    <row r="5" spans="1:14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</row>
    <row r="6" spans="1:14" x14ac:dyDescent="0.25">
      <c r="A6" t="s">
        <v>4</v>
      </c>
      <c r="B6">
        <v>6</v>
      </c>
      <c r="C6">
        <v>238</v>
      </c>
      <c r="D6">
        <v>81</v>
      </c>
      <c r="E6">
        <v>3</v>
      </c>
      <c r="F6">
        <v>37</v>
      </c>
      <c r="G6">
        <v>1</v>
      </c>
      <c r="H6">
        <v>0</v>
      </c>
      <c r="I6">
        <v>0</v>
      </c>
      <c r="J6">
        <v>0</v>
      </c>
      <c r="K6">
        <v>259</v>
      </c>
      <c r="L6">
        <v>1</v>
      </c>
      <c r="M6">
        <v>1</v>
      </c>
      <c r="N6" t="s">
        <v>30</v>
      </c>
    </row>
    <row r="7" spans="1:14" x14ac:dyDescent="0.25">
      <c r="A7" t="s">
        <v>3</v>
      </c>
      <c r="B7">
        <v>6</v>
      </c>
      <c r="C7">
        <v>233</v>
      </c>
      <c r="D7">
        <v>85</v>
      </c>
      <c r="E7">
        <v>2</v>
      </c>
      <c r="F7">
        <v>36</v>
      </c>
      <c r="G7">
        <v>3</v>
      </c>
      <c r="H7">
        <v>0</v>
      </c>
      <c r="I7">
        <v>0</v>
      </c>
      <c r="J7">
        <v>1</v>
      </c>
      <c r="K7">
        <v>229</v>
      </c>
      <c r="L7">
        <v>1</v>
      </c>
      <c r="M7">
        <v>0</v>
      </c>
      <c r="N7" t="s">
        <v>0</v>
      </c>
    </row>
    <row r="8" spans="1:14" x14ac:dyDescent="0.25">
      <c r="A8" t="s">
        <v>7</v>
      </c>
      <c r="B8">
        <v>6</v>
      </c>
      <c r="C8">
        <v>189</v>
      </c>
      <c r="D8">
        <v>58</v>
      </c>
      <c r="E8">
        <v>2</v>
      </c>
      <c r="F8">
        <v>32</v>
      </c>
      <c r="G8">
        <v>7</v>
      </c>
      <c r="H8">
        <v>0</v>
      </c>
      <c r="I8">
        <v>0</v>
      </c>
      <c r="J8">
        <v>0</v>
      </c>
      <c r="K8">
        <v>412</v>
      </c>
      <c r="L8">
        <v>1</v>
      </c>
      <c r="M8">
        <v>0</v>
      </c>
      <c r="N8" t="s">
        <v>4</v>
      </c>
    </row>
    <row r="9" spans="1:14" x14ac:dyDescent="0.25">
      <c r="A9" t="s">
        <v>6</v>
      </c>
      <c r="B9">
        <v>3</v>
      </c>
      <c r="C9">
        <v>137</v>
      </c>
      <c r="D9">
        <v>49</v>
      </c>
      <c r="E9">
        <v>4</v>
      </c>
      <c r="F9">
        <v>24</v>
      </c>
      <c r="G9">
        <v>2</v>
      </c>
      <c r="H9">
        <v>0</v>
      </c>
      <c r="I9">
        <v>0</v>
      </c>
      <c r="J9">
        <v>0</v>
      </c>
      <c r="K9">
        <v>85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61C8D-C1AB-4916-97C8-3AD59441F873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128</v>
      </c>
      <c r="E2">
        <v>6</v>
      </c>
      <c r="F2">
        <v>17</v>
      </c>
      <c r="G2">
        <v>3</v>
      </c>
      <c r="H2">
        <v>0</v>
      </c>
      <c r="I2">
        <v>0</v>
      </c>
      <c r="J2">
        <v>0</v>
      </c>
      <c r="K2">
        <v>175</v>
      </c>
      <c r="L2">
        <v>2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229</v>
      </c>
      <c r="D3">
        <v>131</v>
      </c>
      <c r="E3">
        <v>5</v>
      </c>
      <c r="F3">
        <v>23</v>
      </c>
      <c r="G3">
        <v>7</v>
      </c>
      <c r="H3">
        <v>0</v>
      </c>
      <c r="I3">
        <v>0</v>
      </c>
      <c r="J3">
        <v>1</v>
      </c>
      <c r="K3">
        <v>240</v>
      </c>
      <c r="L3">
        <v>2</v>
      </c>
      <c r="M3">
        <v>1</v>
      </c>
      <c r="N3" t="s">
        <v>1</v>
      </c>
    </row>
    <row r="4" spans="1:14" x14ac:dyDescent="0.25">
      <c r="A4" t="s">
        <v>2</v>
      </c>
      <c r="B4">
        <v>6</v>
      </c>
      <c r="C4">
        <v>236</v>
      </c>
      <c r="D4">
        <v>136</v>
      </c>
      <c r="E4">
        <v>4</v>
      </c>
      <c r="F4">
        <v>30</v>
      </c>
      <c r="G4">
        <v>8</v>
      </c>
      <c r="H4">
        <v>0</v>
      </c>
      <c r="I4">
        <v>0</v>
      </c>
      <c r="J4">
        <v>0</v>
      </c>
      <c r="K4">
        <v>214</v>
      </c>
      <c r="L4">
        <v>2</v>
      </c>
      <c r="M4">
        <v>1</v>
      </c>
      <c r="N4" t="s">
        <v>30</v>
      </c>
    </row>
    <row r="5" spans="1:14" x14ac:dyDescent="0.25">
      <c r="A5" t="s">
        <v>4</v>
      </c>
      <c r="B5">
        <v>6</v>
      </c>
      <c r="C5">
        <v>230</v>
      </c>
      <c r="D5">
        <v>131</v>
      </c>
      <c r="E5">
        <v>4</v>
      </c>
      <c r="F5">
        <v>26</v>
      </c>
      <c r="G5">
        <v>5</v>
      </c>
      <c r="H5">
        <v>0</v>
      </c>
      <c r="I5">
        <v>0</v>
      </c>
      <c r="J5">
        <v>0</v>
      </c>
      <c r="K5">
        <v>221</v>
      </c>
      <c r="L5">
        <v>2</v>
      </c>
      <c r="M5">
        <v>1</v>
      </c>
      <c r="N5" t="s">
        <v>5</v>
      </c>
    </row>
    <row r="6" spans="1:14" x14ac:dyDescent="0.25">
      <c r="A6" t="s">
        <v>5</v>
      </c>
      <c r="B6">
        <v>6</v>
      </c>
      <c r="C6">
        <v>234</v>
      </c>
      <c r="D6">
        <v>122</v>
      </c>
      <c r="E6">
        <v>4</v>
      </c>
      <c r="F6">
        <v>26</v>
      </c>
      <c r="G6">
        <v>8</v>
      </c>
      <c r="H6">
        <v>0</v>
      </c>
      <c r="I6">
        <v>0</v>
      </c>
      <c r="J6">
        <v>2</v>
      </c>
      <c r="K6">
        <v>294</v>
      </c>
      <c r="L6">
        <v>2</v>
      </c>
      <c r="M6">
        <v>0</v>
      </c>
      <c r="N6" t="s">
        <v>4</v>
      </c>
    </row>
    <row r="7" spans="1:14" x14ac:dyDescent="0.25">
      <c r="A7" t="s">
        <v>6</v>
      </c>
      <c r="B7">
        <v>6</v>
      </c>
      <c r="C7">
        <v>206</v>
      </c>
      <c r="D7">
        <v>120</v>
      </c>
      <c r="E7">
        <v>3</v>
      </c>
      <c r="F7">
        <v>25</v>
      </c>
      <c r="G7">
        <v>4</v>
      </c>
      <c r="H7">
        <v>0</v>
      </c>
      <c r="I7">
        <v>0</v>
      </c>
      <c r="J7">
        <v>2</v>
      </c>
      <c r="K7">
        <v>300</v>
      </c>
      <c r="L7">
        <v>2</v>
      </c>
      <c r="M7">
        <v>0</v>
      </c>
      <c r="N7" t="s">
        <v>0</v>
      </c>
    </row>
    <row r="8" spans="1:14" x14ac:dyDescent="0.25">
      <c r="A8" t="s">
        <v>1</v>
      </c>
      <c r="B8">
        <v>6</v>
      </c>
      <c r="C8">
        <v>236</v>
      </c>
      <c r="D8">
        <v>113</v>
      </c>
      <c r="E8">
        <v>2</v>
      </c>
      <c r="F8">
        <v>19</v>
      </c>
      <c r="G8">
        <v>7</v>
      </c>
      <c r="H8">
        <v>0</v>
      </c>
      <c r="I8">
        <v>0</v>
      </c>
      <c r="J8">
        <v>1</v>
      </c>
      <c r="K8">
        <v>302</v>
      </c>
      <c r="L8">
        <v>2</v>
      </c>
      <c r="M8">
        <v>0</v>
      </c>
      <c r="N8" t="s">
        <v>3</v>
      </c>
    </row>
    <row r="9" spans="1:14" x14ac:dyDescent="0.25">
      <c r="A9" t="s">
        <v>7</v>
      </c>
      <c r="B9">
        <v>6</v>
      </c>
      <c r="C9">
        <v>233</v>
      </c>
      <c r="D9">
        <v>103</v>
      </c>
      <c r="E9">
        <v>3</v>
      </c>
      <c r="F9">
        <v>30</v>
      </c>
      <c r="G9">
        <v>6</v>
      </c>
      <c r="H9">
        <v>0</v>
      </c>
      <c r="I9">
        <v>0</v>
      </c>
      <c r="J9">
        <v>3</v>
      </c>
      <c r="K9">
        <v>325</v>
      </c>
      <c r="L9">
        <v>2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BA12-61B8-4842-A9C9-05DFCFDF3A0F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255</v>
      </c>
      <c r="D2">
        <v>97</v>
      </c>
      <c r="E2">
        <v>4</v>
      </c>
      <c r="F2">
        <v>73</v>
      </c>
      <c r="G2">
        <v>2</v>
      </c>
      <c r="H2">
        <v>1</v>
      </c>
      <c r="I2">
        <v>1</v>
      </c>
      <c r="J2">
        <v>1</v>
      </c>
      <c r="K2">
        <v>183</v>
      </c>
      <c r="L2">
        <v>3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250</v>
      </c>
      <c r="D3">
        <v>87</v>
      </c>
      <c r="E3">
        <v>2</v>
      </c>
      <c r="F3">
        <v>53</v>
      </c>
      <c r="G3">
        <v>4</v>
      </c>
      <c r="H3">
        <v>0</v>
      </c>
      <c r="I3">
        <v>0</v>
      </c>
      <c r="J3">
        <v>0</v>
      </c>
      <c r="K3">
        <v>207</v>
      </c>
      <c r="L3">
        <v>3</v>
      </c>
      <c r="M3">
        <v>1</v>
      </c>
      <c r="N3" t="s">
        <v>30</v>
      </c>
    </row>
    <row r="4" spans="1:14" x14ac:dyDescent="0.25">
      <c r="A4" t="s">
        <v>6</v>
      </c>
      <c r="B4">
        <v>6</v>
      </c>
      <c r="C4">
        <v>243</v>
      </c>
      <c r="D4">
        <v>83</v>
      </c>
      <c r="E4">
        <v>1</v>
      </c>
      <c r="F4">
        <v>62</v>
      </c>
      <c r="G4">
        <v>7</v>
      </c>
      <c r="H4">
        <v>0</v>
      </c>
      <c r="I4">
        <v>0</v>
      </c>
      <c r="J4">
        <v>0</v>
      </c>
      <c r="K4">
        <v>298</v>
      </c>
      <c r="L4">
        <v>3</v>
      </c>
      <c r="M4">
        <v>0</v>
      </c>
      <c r="N4" t="s">
        <v>1</v>
      </c>
    </row>
    <row r="5" spans="1:14" x14ac:dyDescent="0.25">
      <c r="A5" t="s">
        <v>5</v>
      </c>
      <c r="B5">
        <v>6</v>
      </c>
      <c r="C5">
        <v>230</v>
      </c>
      <c r="D5">
        <v>70</v>
      </c>
      <c r="E5">
        <v>4</v>
      </c>
      <c r="F5">
        <v>53</v>
      </c>
      <c r="G5">
        <v>3</v>
      </c>
      <c r="H5">
        <v>0</v>
      </c>
      <c r="I5">
        <v>0</v>
      </c>
      <c r="J5">
        <v>0</v>
      </c>
      <c r="K5">
        <v>283</v>
      </c>
      <c r="L5">
        <v>3</v>
      </c>
      <c r="M5">
        <v>1</v>
      </c>
      <c r="N5" t="s">
        <v>0</v>
      </c>
    </row>
    <row r="6" spans="1:14" x14ac:dyDescent="0.25">
      <c r="A6" t="s">
        <v>0</v>
      </c>
      <c r="B6">
        <v>6</v>
      </c>
      <c r="C6">
        <v>229</v>
      </c>
      <c r="D6">
        <v>75</v>
      </c>
      <c r="E6">
        <v>2</v>
      </c>
      <c r="F6">
        <v>53</v>
      </c>
      <c r="G6">
        <v>1</v>
      </c>
      <c r="H6">
        <v>0</v>
      </c>
      <c r="I6">
        <v>0</v>
      </c>
      <c r="J6">
        <v>0</v>
      </c>
      <c r="K6">
        <v>288</v>
      </c>
      <c r="L6">
        <v>3</v>
      </c>
      <c r="M6">
        <v>0</v>
      </c>
      <c r="N6" t="s">
        <v>5</v>
      </c>
    </row>
    <row r="7" spans="1:14" x14ac:dyDescent="0.25">
      <c r="A7" t="s">
        <v>4</v>
      </c>
      <c r="B7">
        <v>6</v>
      </c>
      <c r="C7">
        <v>198</v>
      </c>
      <c r="D7">
        <v>73</v>
      </c>
      <c r="E7">
        <v>2</v>
      </c>
      <c r="F7">
        <v>48</v>
      </c>
      <c r="G7">
        <v>3</v>
      </c>
      <c r="H7">
        <v>0</v>
      </c>
      <c r="I7">
        <v>0</v>
      </c>
      <c r="J7">
        <v>0</v>
      </c>
      <c r="K7">
        <v>325</v>
      </c>
      <c r="L7">
        <v>3</v>
      </c>
      <c r="M7">
        <v>1</v>
      </c>
      <c r="N7" t="s">
        <v>2</v>
      </c>
    </row>
    <row r="8" spans="1:14" x14ac:dyDescent="0.25">
      <c r="A8" t="s">
        <v>7</v>
      </c>
      <c r="B8">
        <v>6</v>
      </c>
      <c r="C8">
        <v>210</v>
      </c>
      <c r="D8">
        <v>65</v>
      </c>
      <c r="E8">
        <v>2</v>
      </c>
      <c r="F8">
        <v>47</v>
      </c>
      <c r="G8">
        <v>0</v>
      </c>
      <c r="H8">
        <v>0</v>
      </c>
      <c r="I8">
        <v>0</v>
      </c>
      <c r="J8">
        <v>0</v>
      </c>
      <c r="K8">
        <v>305</v>
      </c>
      <c r="L8">
        <v>3</v>
      </c>
      <c r="M8">
        <v>0</v>
      </c>
      <c r="N8" t="s">
        <v>3</v>
      </c>
    </row>
    <row r="9" spans="1:14" x14ac:dyDescent="0.25">
      <c r="A9" t="s">
        <v>2</v>
      </c>
      <c r="B9">
        <v>6</v>
      </c>
      <c r="C9">
        <v>171</v>
      </c>
      <c r="D9">
        <v>54</v>
      </c>
      <c r="E9">
        <v>6</v>
      </c>
      <c r="F9">
        <v>50</v>
      </c>
      <c r="G9">
        <v>7</v>
      </c>
      <c r="H9">
        <v>0</v>
      </c>
      <c r="I9">
        <v>0</v>
      </c>
      <c r="J9">
        <v>0</v>
      </c>
      <c r="K9">
        <v>375</v>
      </c>
      <c r="L9">
        <v>3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1451B-8D4C-4620-842D-33CE118E742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181</v>
      </c>
      <c r="D2">
        <v>95</v>
      </c>
      <c r="E2">
        <v>4</v>
      </c>
      <c r="F2">
        <v>37</v>
      </c>
      <c r="G2">
        <v>7</v>
      </c>
      <c r="H2">
        <v>0</v>
      </c>
      <c r="I2">
        <v>0</v>
      </c>
      <c r="J2">
        <v>0</v>
      </c>
      <c r="K2">
        <v>178</v>
      </c>
      <c r="L2">
        <v>4</v>
      </c>
      <c r="M2">
        <v>1</v>
      </c>
      <c r="N2" t="s">
        <v>5</v>
      </c>
    </row>
    <row r="3" spans="1:14" x14ac:dyDescent="0.25">
      <c r="A3" t="s">
        <v>6</v>
      </c>
      <c r="B3">
        <v>6</v>
      </c>
      <c r="C3">
        <v>209</v>
      </c>
      <c r="D3">
        <v>73</v>
      </c>
      <c r="E3">
        <v>7</v>
      </c>
      <c r="F3">
        <v>32</v>
      </c>
      <c r="G3">
        <v>3</v>
      </c>
      <c r="H3">
        <v>0</v>
      </c>
      <c r="I3">
        <v>0</v>
      </c>
      <c r="J3">
        <v>0</v>
      </c>
      <c r="K3">
        <v>192</v>
      </c>
      <c r="L3">
        <v>4</v>
      </c>
      <c r="M3">
        <v>1</v>
      </c>
      <c r="N3" t="s">
        <v>31</v>
      </c>
    </row>
    <row r="4" spans="1:14" x14ac:dyDescent="0.25">
      <c r="A4" t="s">
        <v>4</v>
      </c>
      <c r="B4">
        <v>6</v>
      </c>
      <c r="C4">
        <v>192</v>
      </c>
      <c r="D4">
        <v>90</v>
      </c>
      <c r="E4">
        <v>0</v>
      </c>
      <c r="F4">
        <v>38</v>
      </c>
      <c r="G4">
        <v>3</v>
      </c>
      <c r="H4">
        <v>0</v>
      </c>
      <c r="I4">
        <v>0</v>
      </c>
      <c r="J4">
        <v>1</v>
      </c>
      <c r="K4">
        <v>192</v>
      </c>
      <c r="L4">
        <v>4</v>
      </c>
      <c r="M4">
        <v>1</v>
      </c>
      <c r="N4" t="s">
        <v>3</v>
      </c>
    </row>
    <row r="5" spans="1:14" x14ac:dyDescent="0.25">
      <c r="A5" t="s">
        <v>0</v>
      </c>
      <c r="B5">
        <v>6</v>
      </c>
      <c r="C5">
        <v>211</v>
      </c>
      <c r="D5">
        <v>79</v>
      </c>
      <c r="E5">
        <v>0</v>
      </c>
      <c r="F5">
        <v>31</v>
      </c>
      <c r="G5">
        <v>2</v>
      </c>
      <c r="H5">
        <v>0</v>
      </c>
      <c r="I5">
        <v>0</v>
      </c>
      <c r="J5">
        <v>1</v>
      </c>
      <c r="K5">
        <v>202</v>
      </c>
      <c r="L5">
        <v>4</v>
      </c>
      <c r="M5">
        <v>1</v>
      </c>
      <c r="N5" t="s">
        <v>1</v>
      </c>
    </row>
    <row r="6" spans="1:14" x14ac:dyDescent="0.25">
      <c r="A6" t="s">
        <v>1</v>
      </c>
      <c r="B6">
        <v>6</v>
      </c>
      <c r="C6">
        <v>219</v>
      </c>
      <c r="D6">
        <v>69</v>
      </c>
      <c r="E6">
        <v>3</v>
      </c>
      <c r="F6">
        <v>32</v>
      </c>
      <c r="G6">
        <v>1</v>
      </c>
      <c r="H6">
        <v>0</v>
      </c>
      <c r="I6">
        <v>0</v>
      </c>
      <c r="J6">
        <v>0</v>
      </c>
      <c r="K6">
        <v>196</v>
      </c>
      <c r="L6">
        <v>4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217</v>
      </c>
      <c r="D7">
        <v>71</v>
      </c>
      <c r="E7">
        <v>1</v>
      </c>
      <c r="F7">
        <v>33</v>
      </c>
      <c r="G7">
        <v>2</v>
      </c>
      <c r="H7">
        <v>0</v>
      </c>
      <c r="I7">
        <v>0</v>
      </c>
      <c r="J7">
        <v>0</v>
      </c>
      <c r="K7">
        <v>241</v>
      </c>
      <c r="L7">
        <v>4</v>
      </c>
      <c r="M7">
        <v>0</v>
      </c>
      <c r="N7" t="s">
        <v>2</v>
      </c>
    </row>
    <row r="8" spans="1:14" x14ac:dyDescent="0.25">
      <c r="A8" t="s">
        <v>7</v>
      </c>
      <c r="B8">
        <v>6</v>
      </c>
      <c r="C8">
        <v>190</v>
      </c>
      <c r="D8">
        <v>80</v>
      </c>
      <c r="E8">
        <v>1</v>
      </c>
      <c r="F8">
        <v>42</v>
      </c>
      <c r="G8">
        <v>10</v>
      </c>
      <c r="H8">
        <v>0</v>
      </c>
      <c r="I8">
        <v>0</v>
      </c>
      <c r="J8">
        <v>1</v>
      </c>
      <c r="K8">
        <v>318</v>
      </c>
      <c r="L8">
        <v>4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227</v>
      </c>
      <c r="D9">
        <v>64</v>
      </c>
      <c r="E9">
        <v>0</v>
      </c>
      <c r="F9">
        <v>30</v>
      </c>
      <c r="G9">
        <v>2</v>
      </c>
      <c r="H9">
        <v>0</v>
      </c>
      <c r="I9">
        <v>0</v>
      </c>
      <c r="J9">
        <v>1</v>
      </c>
      <c r="K9">
        <v>275</v>
      </c>
      <c r="L9">
        <v>4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B4368-1837-4D57-8B9B-3CB7EB7C6AAA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273</v>
      </c>
      <c r="D2">
        <v>113</v>
      </c>
      <c r="E2">
        <v>3</v>
      </c>
      <c r="F2">
        <v>42</v>
      </c>
      <c r="G2">
        <v>1</v>
      </c>
      <c r="H2">
        <v>0</v>
      </c>
      <c r="I2">
        <v>0</v>
      </c>
      <c r="J2">
        <v>0</v>
      </c>
      <c r="K2">
        <v>83</v>
      </c>
      <c r="L2">
        <v>5</v>
      </c>
      <c r="M2">
        <v>1</v>
      </c>
      <c r="N2" t="s">
        <v>30</v>
      </c>
    </row>
    <row r="3" spans="1:14" x14ac:dyDescent="0.25">
      <c r="A3" t="s">
        <v>3</v>
      </c>
      <c r="B3">
        <v>6</v>
      </c>
      <c r="C3">
        <v>281</v>
      </c>
      <c r="D3">
        <v>101</v>
      </c>
      <c r="E3">
        <v>4</v>
      </c>
      <c r="F3">
        <v>43</v>
      </c>
      <c r="G3">
        <v>3</v>
      </c>
      <c r="H3">
        <v>0</v>
      </c>
      <c r="I3">
        <v>0</v>
      </c>
      <c r="J3">
        <v>0</v>
      </c>
      <c r="K3">
        <v>153</v>
      </c>
      <c r="L3">
        <v>5</v>
      </c>
      <c r="M3">
        <v>1</v>
      </c>
      <c r="N3" t="s">
        <v>2</v>
      </c>
    </row>
    <row r="4" spans="1:14" x14ac:dyDescent="0.25">
      <c r="A4" t="s">
        <v>1</v>
      </c>
      <c r="B4">
        <v>6</v>
      </c>
      <c r="C4">
        <v>271</v>
      </c>
      <c r="D4">
        <v>93</v>
      </c>
      <c r="E4">
        <v>4</v>
      </c>
      <c r="F4">
        <v>60</v>
      </c>
      <c r="G4">
        <v>4</v>
      </c>
      <c r="H4">
        <v>0</v>
      </c>
      <c r="I4">
        <v>0</v>
      </c>
      <c r="J4">
        <v>0</v>
      </c>
      <c r="K4">
        <v>256</v>
      </c>
      <c r="L4">
        <v>5</v>
      </c>
      <c r="M4">
        <v>1</v>
      </c>
      <c r="N4" t="s">
        <v>5</v>
      </c>
    </row>
    <row r="5" spans="1:14" x14ac:dyDescent="0.25">
      <c r="A5" t="s">
        <v>6</v>
      </c>
      <c r="B5">
        <v>6</v>
      </c>
      <c r="C5">
        <v>234</v>
      </c>
      <c r="D5">
        <v>83</v>
      </c>
      <c r="E5">
        <v>1</v>
      </c>
      <c r="F5">
        <v>40</v>
      </c>
      <c r="G5">
        <v>2</v>
      </c>
      <c r="H5">
        <v>0</v>
      </c>
      <c r="I5">
        <v>0</v>
      </c>
      <c r="J5">
        <v>0</v>
      </c>
      <c r="K5">
        <v>217</v>
      </c>
      <c r="L5">
        <v>5</v>
      </c>
      <c r="M5">
        <v>1</v>
      </c>
      <c r="N5" t="s">
        <v>4</v>
      </c>
    </row>
    <row r="6" spans="1:14" x14ac:dyDescent="0.25">
      <c r="A6" t="s">
        <v>2</v>
      </c>
      <c r="B6">
        <v>6</v>
      </c>
      <c r="C6">
        <v>223</v>
      </c>
      <c r="D6">
        <v>76</v>
      </c>
      <c r="E6">
        <v>3</v>
      </c>
      <c r="F6">
        <v>55</v>
      </c>
      <c r="G6">
        <v>3</v>
      </c>
      <c r="H6">
        <v>0</v>
      </c>
      <c r="I6">
        <v>0</v>
      </c>
      <c r="J6">
        <v>0</v>
      </c>
      <c r="K6">
        <v>319</v>
      </c>
      <c r="L6">
        <v>5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239</v>
      </c>
      <c r="D7">
        <v>70</v>
      </c>
      <c r="E7">
        <v>2</v>
      </c>
      <c r="F7">
        <v>46</v>
      </c>
      <c r="G7">
        <v>2</v>
      </c>
      <c r="H7">
        <v>0</v>
      </c>
      <c r="I7">
        <v>0</v>
      </c>
      <c r="J7">
        <v>1</v>
      </c>
      <c r="K7">
        <v>330</v>
      </c>
      <c r="L7">
        <v>5</v>
      </c>
      <c r="M7">
        <v>0</v>
      </c>
      <c r="N7" t="s">
        <v>1</v>
      </c>
    </row>
    <row r="8" spans="1:14" x14ac:dyDescent="0.25">
      <c r="A8" t="s">
        <v>4</v>
      </c>
      <c r="B8">
        <v>6</v>
      </c>
      <c r="C8">
        <v>196</v>
      </c>
      <c r="D8">
        <v>74</v>
      </c>
      <c r="E8">
        <v>2</v>
      </c>
      <c r="F8">
        <v>48</v>
      </c>
      <c r="G8">
        <v>4</v>
      </c>
      <c r="H8">
        <v>0</v>
      </c>
      <c r="I8">
        <v>0</v>
      </c>
      <c r="J8">
        <v>0</v>
      </c>
      <c r="K8">
        <v>304</v>
      </c>
      <c r="L8">
        <v>5</v>
      </c>
      <c r="M8">
        <v>0</v>
      </c>
      <c r="N8" t="s">
        <v>6</v>
      </c>
    </row>
    <row r="9" spans="1:14" x14ac:dyDescent="0.25">
      <c r="A9" t="s">
        <v>7</v>
      </c>
      <c r="B9">
        <v>5</v>
      </c>
      <c r="C9">
        <v>176</v>
      </c>
      <c r="D9">
        <v>42</v>
      </c>
      <c r="E9">
        <v>2</v>
      </c>
      <c r="F9">
        <v>28</v>
      </c>
      <c r="G9">
        <v>3</v>
      </c>
      <c r="H9">
        <v>0</v>
      </c>
      <c r="I9">
        <v>0</v>
      </c>
      <c r="J9">
        <v>1</v>
      </c>
      <c r="K9">
        <v>293</v>
      </c>
      <c r="L9">
        <v>5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29AF9-CDAA-4F3A-921D-A3BF1B56183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268</v>
      </c>
      <c r="D2">
        <v>99</v>
      </c>
      <c r="E2">
        <v>3</v>
      </c>
      <c r="F2">
        <v>59</v>
      </c>
      <c r="G2">
        <v>3</v>
      </c>
      <c r="H2">
        <v>0</v>
      </c>
      <c r="I2">
        <v>0</v>
      </c>
      <c r="J2">
        <v>0</v>
      </c>
      <c r="K2">
        <v>128</v>
      </c>
      <c r="L2">
        <v>6</v>
      </c>
      <c r="M2">
        <v>1</v>
      </c>
      <c r="N2" t="s">
        <v>31</v>
      </c>
    </row>
    <row r="3" spans="1:14" x14ac:dyDescent="0.25">
      <c r="A3" t="s">
        <v>0</v>
      </c>
      <c r="B3">
        <v>6</v>
      </c>
      <c r="C3">
        <v>262</v>
      </c>
      <c r="D3">
        <v>95</v>
      </c>
      <c r="E3">
        <v>5</v>
      </c>
      <c r="F3">
        <v>65</v>
      </c>
      <c r="G3">
        <v>5</v>
      </c>
      <c r="H3">
        <v>0</v>
      </c>
      <c r="I3">
        <v>1</v>
      </c>
      <c r="J3">
        <v>0</v>
      </c>
      <c r="K3">
        <v>156</v>
      </c>
      <c r="L3">
        <v>6</v>
      </c>
      <c r="M3">
        <v>1</v>
      </c>
      <c r="N3" t="s">
        <v>4</v>
      </c>
    </row>
    <row r="4" spans="1:14" x14ac:dyDescent="0.25">
      <c r="A4" t="s">
        <v>2</v>
      </c>
      <c r="B4">
        <v>6</v>
      </c>
      <c r="C4">
        <v>216</v>
      </c>
      <c r="D4">
        <v>83</v>
      </c>
      <c r="E4">
        <v>2</v>
      </c>
      <c r="F4">
        <v>56</v>
      </c>
      <c r="G4">
        <v>3</v>
      </c>
      <c r="H4">
        <v>0</v>
      </c>
      <c r="I4">
        <v>0</v>
      </c>
      <c r="J4">
        <v>0</v>
      </c>
      <c r="K4">
        <v>157</v>
      </c>
      <c r="L4">
        <v>6</v>
      </c>
      <c r="M4">
        <v>1</v>
      </c>
      <c r="N4" t="s">
        <v>6</v>
      </c>
    </row>
    <row r="5" spans="1:14" x14ac:dyDescent="0.25">
      <c r="A5" t="s">
        <v>7</v>
      </c>
      <c r="B5">
        <v>6</v>
      </c>
      <c r="C5">
        <v>214</v>
      </c>
      <c r="D5">
        <v>78</v>
      </c>
      <c r="E5">
        <v>4</v>
      </c>
      <c r="F5">
        <v>59</v>
      </c>
      <c r="G5">
        <v>2</v>
      </c>
      <c r="H5">
        <v>0</v>
      </c>
      <c r="I5">
        <v>0</v>
      </c>
      <c r="J5">
        <v>3</v>
      </c>
      <c r="K5">
        <v>201</v>
      </c>
      <c r="L5">
        <v>6</v>
      </c>
      <c r="M5">
        <v>0</v>
      </c>
      <c r="N5" t="s">
        <v>1</v>
      </c>
    </row>
    <row r="6" spans="1:14" x14ac:dyDescent="0.25">
      <c r="A6" t="s">
        <v>4</v>
      </c>
      <c r="B6">
        <v>6</v>
      </c>
      <c r="C6">
        <v>218</v>
      </c>
      <c r="D6">
        <v>75</v>
      </c>
      <c r="E6">
        <v>3</v>
      </c>
      <c r="F6">
        <v>61</v>
      </c>
      <c r="G6">
        <v>3</v>
      </c>
      <c r="H6">
        <v>0</v>
      </c>
      <c r="I6">
        <v>0</v>
      </c>
      <c r="J6">
        <v>0</v>
      </c>
      <c r="K6">
        <v>196</v>
      </c>
      <c r="L6">
        <v>6</v>
      </c>
      <c r="M6">
        <v>0</v>
      </c>
      <c r="N6" t="s">
        <v>0</v>
      </c>
    </row>
    <row r="7" spans="1:14" x14ac:dyDescent="0.25">
      <c r="A7" t="s">
        <v>3</v>
      </c>
      <c r="B7">
        <v>5</v>
      </c>
      <c r="C7">
        <v>209</v>
      </c>
      <c r="D7">
        <v>70</v>
      </c>
      <c r="E7">
        <v>2</v>
      </c>
      <c r="F7">
        <v>41</v>
      </c>
      <c r="G7">
        <v>2</v>
      </c>
      <c r="H7">
        <v>0</v>
      </c>
      <c r="I7">
        <v>0</v>
      </c>
      <c r="J7">
        <v>0</v>
      </c>
      <c r="K7">
        <v>117</v>
      </c>
      <c r="L7">
        <v>6</v>
      </c>
      <c r="M7">
        <v>1</v>
      </c>
      <c r="N7" t="s">
        <v>5</v>
      </c>
    </row>
    <row r="8" spans="1:14" x14ac:dyDescent="0.25">
      <c r="A8" t="s">
        <v>5</v>
      </c>
      <c r="B8">
        <v>6</v>
      </c>
      <c r="C8">
        <v>230</v>
      </c>
      <c r="D8">
        <v>70</v>
      </c>
      <c r="E8">
        <v>2</v>
      </c>
      <c r="F8">
        <v>54</v>
      </c>
      <c r="G8">
        <v>3</v>
      </c>
      <c r="H8">
        <v>0</v>
      </c>
      <c r="I8">
        <v>0</v>
      </c>
      <c r="J8">
        <v>1</v>
      </c>
      <c r="K8">
        <v>212</v>
      </c>
      <c r="L8">
        <v>6</v>
      </c>
      <c r="M8">
        <v>0</v>
      </c>
      <c r="N8" t="s">
        <v>3</v>
      </c>
    </row>
    <row r="9" spans="1:14" x14ac:dyDescent="0.25">
      <c r="A9" t="s">
        <v>6</v>
      </c>
      <c r="B9">
        <v>5</v>
      </c>
      <c r="C9">
        <v>202</v>
      </c>
      <c r="D9">
        <v>68</v>
      </c>
      <c r="E9">
        <v>1</v>
      </c>
      <c r="F9">
        <v>50</v>
      </c>
      <c r="G9">
        <v>3</v>
      </c>
      <c r="H9">
        <v>0</v>
      </c>
      <c r="I9">
        <v>0</v>
      </c>
      <c r="J9">
        <v>0</v>
      </c>
      <c r="K9">
        <v>162</v>
      </c>
      <c r="L9">
        <v>6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0E29A-0A1E-424C-9FA4-B42D4939457E}">
  <dimension ref="A1:N9"/>
  <sheetViews>
    <sheetView workbookViewId="0">
      <selection activeCell="A10" sqref="A10:XFD10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243</v>
      </c>
      <c r="D2">
        <v>96</v>
      </c>
      <c r="E2">
        <v>2</v>
      </c>
      <c r="F2">
        <v>47</v>
      </c>
      <c r="G2">
        <v>7</v>
      </c>
      <c r="H2">
        <v>0</v>
      </c>
      <c r="I2">
        <v>0</v>
      </c>
      <c r="J2">
        <v>1</v>
      </c>
      <c r="K2">
        <v>198</v>
      </c>
      <c r="L2">
        <v>7</v>
      </c>
      <c r="M2">
        <v>1</v>
      </c>
      <c r="N2" t="s">
        <v>2</v>
      </c>
    </row>
    <row r="3" spans="1:14" x14ac:dyDescent="0.25">
      <c r="A3" t="s">
        <v>1</v>
      </c>
      <c r="B3">
        <v>6</v>
      </c>
      <c r="C3">
        <v>193</v>
      </c>
      <c r="D3">
        <v>80</v>
      </c>
      <c r="E3">
        <v>2</v>
      </c>
      <c r="F3">
        <v>46</v>
      </c>
      <c r="G3">
        <v>3</v>
      </c>
      <c r="H3">
        <v>0</v>
      </c>
      <c r="I3">
        <v>0</v>
      </c>
      <c r="J3">
        <v>0</v>
      </c>
      <c r="K3">
        <v>270</v>
      </c>
      <c r="L3">
        <v>7</v>
      </c>
      <c r="M3">
        <v>1</v>
      </c>
      <c r="N3" t="s">
        <v>4</v>
      </c>
    </row>
    <row r="4" spans="1:14" x14ac:dyDescent="0.25">
      <c r="A4" t="s">
        <v>4</v>
      </c>
      <c r="B4">
        <v>6</v>
      </c>
      <c r="C4">
        <v>215</v>
      </c>
      <c r="D4">
        <v>88</v>
      </c>
      <c r="E4">
        <v>2</v>
      </c>
      <c r="F4">
        <v>48</v>
      </c>
      <c r="G4">
        <v>5</v>
      </c>
      <c r="H4">
        <v>0</v>
      </c>
      <c r="I4">
        <v>0</v>
      </c>
      <c r="J4">
        <v>2</v>
      </c>
      <c r="K4">
        <v>269</v>
      </c>
      <c r="L4">
        <v>7</v>
      </c>
      <c r="M4">
        <v>0</v>
      </c>
      <c r="N4" t="s">
        <v>1</v>
      </c>
    </row>
    <row r="5" spans="1:14" x14ac:dyDescent="0.25">
      <c r="A5" t="s">
        <v>7</v>
      </c>
      <c r="B5">
        <v>6</v>
      </c>
      <c r="C5">
        <v>232</v>
      </c>
      <c r="D5">
        <v>75</v>
      </c>
      <c r="E5">
        <v>5</v>
      </c>
      <c r="F5">
        <v>39</v>
      </c>
      <c r="G5">
        <v>9</v>
      </c>
      <c r="H5">
        <v>0</v>
      </c>
      <c r="I5">
        <v>0</v>
      </c>
      <c r="J5">
        <v>0</v>
      </c>
      <c r="K5">
        <v>253</v>
      </c>
      <c r="L5">
        <v>7</v>
      </c>
      <c r="M5">
        <v>1</v>
      </c>
      <c r="N5" t="s">
        <v>5</v>
      </c>
    </row>
    <row r="6" spans="1:14" x14ac:dyDescent="0.25">
      <c r="A6" t="s">
        <v>2</v>
      </c>
      <c r="B6">
        <v>6</v>
      </c>
      <c r="C6">
        <v>198</v>
      </c>
      <c r="D6">
        <v>79</v>
      </c>
      <c r="E6">
        <v>3</v>
      </c>
      <c r="F6">
        <v>37</v>
      </c>
      <c r="G6">
        <v>7</v>
      </c>
      <c r="H6">
        <v>0</v>
      </c>
      <c r="I6">
        <v>0</v>
      </c>
      <c r="J6">
        <v>0</v>
      </c>
      <c r="K6">
        <v>233</v>
      </c>
      <c r="L6">
        <v>7</v>
      </c>
      <c r="M6">
        <v>0</v>
      </c>
      <c r="N6" t="s">
        <v>0</v>
      </c>
    </row>
    <row r="7" spans="1:14" x14ac:dyDescent="0.25">
      <c r="A7" t="s">
        <v>3</v>
      </c>
      <c r="B7">
        <v>6</v>
      </c>
      <c r="C7">
        <v>206</v>
      </c>
      <c r="D7">
        <v>68</v>
      </c>
      <c r="E7">
        <v>1</v>
      </c>
      <c r="F7">
        <v>47</v>
      </c>
      <c r="G7">
        <v>2</v>
      </c>
      <c r="H7">
        <v>0</v>
      </c>
      <c r="I7">
        <v>0</v>
      </c>
      <c r="J7">
        <v>0</v>
      </c>
      <c r="K7">
        <v>275</v>
      </c>
      <c r="L7">
        <v>7</v>
      </c>
      <c r="M7">
        <v>1</v>
      </c>
      <c r="N7" t="s">
        <v>6</v>
      </c>
    </row>
    <row r="8" spans="1:14" x14ac:dyDescent="0.25">
      <c r="A8" t="s">
        <v>6</v>
      </c>
      <c r="B8">
        <v>5</v>
      </c>
      <c r="C8">
        <v>171</v>
      </c>
      <c r="D8">
        <v>66</v>
      </c>
      <c r="E8">
        <v>4</v>
      </c>
      <c r="F8">
        <v>42</v>
      </c>
      <c r="G8">
        <v>4</v>
      </c>
      <c r="H8">
        <v>0</v>
      </c>
      <c r="I8">
        <v>0</v>
      </c>
      <c r="J8">
        <v>1</v>
      </c>
      <c r="K8">
        <v>199</v>
      </c>
      <c r="L8">
        <v>7</v>
      </c>
      <c r="M8">
        <v>0</v>
      </c>
      <c r="N8" t="s">
        <v>0</v>
      </c>
    </row>
    <row r="9" spans="1:14" x14ac:dyDescent="0.25">
      <c r="A9" t="s">
        <v>5</v>
      </c>
      <c r="B9">
        <v>5</v>
      </c>
      <c r="C9">
        <v>155</v>
      </c>
      <c r="D9">
        <v>58</v>
      </c>
      <c r="E9">
        <v>0</v>
      </c>
      <c r="F9">
        <v>31</v>
      </c>
      <c r="G9">
        <v>6</v>
      </c>
      <c r="H9">
        <v>0</v>
      </c>
      <c r="I9">
        <v>0</v>
      </c>
      <c r="J9">
        <v>2</v>
      </c>
      <c r="K9">
        <v>261</v>
      </c>
      <c r="L9">
        <v>7</v>
      </c>
      <c r="M9">
        <v>0</v>
      </c>
      <c r="N9" t="s">
        <v>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D8709-C38C-456F-8AB1-9D75AD6D0DF0}">
  <dimension ref="A1:N9"/>
  <sheetViews>
    <sheetView workbookViewId="0">
      <selection activeCell="A10" sqref="A10"/>
    </sheetView>
  </sheetViews>
  <sheetFormatPr defaultRowHeight="15" x14ac:dyDescent="0.25"/>
  <cols>
    <col min="1" max="1" width="13.42578125" bestFit="1" customWidth="1"/>
    <col min="14" max="14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7</v>
      </c>
      <c r="B2">
        <v>6</v>
      </c>
      <c r="C2">
        <v>283</v>
      </c>
      <c r="D2">
        <v>95</v>
      </c>
      <c r="E2">
        <v>4</v>
      </c>
      <c r="F2">
        <v>44</v>
      </c>
      <c r="G2">
        <v>5</v>
      </c>
      <c r="H2">
        <v>0</v>
      </c>
      <c r="I2">
        <v>1</v>
      </c>
      <c r="J2">
        <v>1</v>
      </c>
      <c r="K2">
        <v>218</v>
      </c>
      <c r="L2">
        <v>8</v>
      </c>
      <c r="M2">
        <v>1</v>
      </c>
      <c r="N2" t="s">
        <v>4</v>
      </c>
    </row>
    <row r="3" spans="1:14" x14ac:dyDescent="0.25">
      <c r="A3" t="s">
        <v>1</v>
      </c>
      <c r="B3">
        <v>6</v>
      </c>
      <c r="C3">
        <v>225</v>
      </c>
      <c r="D3">
        <v>86</v>
      </c>
      <c r="E3">
        <v>5</v>
      </c>
      <c r="F3">
        <v>40</v>
      </c>
      <c r="G3">
        <v>4</v>
      </c>
      <c r="H3">
        <v>0</v>
      </c>
      <c r="I3">
        <v>0</v>
      </c>
      <c r="J3">
        <v>0</v>
      </c>
      <c r="K3">
        <v>189</v>
      </c>
      <c r="L3">
        <v>8</v>
      </c>
      <c r="M3">
        <v>1</v>
      </c>
      <c r="N3" t="s">
        <v>2</v>
      </c>
    </row>
    <row r="4" spans="1:14" x14ac:dyDescent="0.25">
      <c r="A4" t="s">
        <v>4</v>
      </c>
      <c r="B4">
        <v>6</v>
      </c>
      <c r="C4">
        <v>284</v>
      </c>
      <c r="D4">
        <v>90</v>
      </c>
      <c r="E4">
        <v>4</v>
      </c>
      <c r="F4">
        <v>39</v>
      </c>
      <c r="G4">
        <v>12</v>
      </c>
      <c r="H4">
        <v>0</v>
      </c>
      <c r="I4">
        <v>0</v>
      </c>
      <c r="J4">
        <v>3</v>
      </c>
      <c r="K4">
        <v>301</v>
      </c>
      <c r="L4">
        <v>8</v>
      </c>
      <c r="M4">
        <v>0</v>
      </c>
      <c r="N4" t="s">
        <v>30</v>
      </c>
    </row>
    <row r="5" spans="1:14" x14ac:dyDescent="0.25">
      <c r="A5" t="s">
        <v>2</v>
      </c>
      <c r="B5">
        <v>6</v>
      </c>
      <c r="C5">
        <v>226</v>
      </c>
      <c r="D5">
        <v>87</v>
      </c>
      <c r="E5">
        <v>0</v>
      </c>
      <c r="F5">
        <v>38</v>
      </c>
      <c r="G5">
        <v>8</v>
      </c>
      <c r="H5">
        <v>0</v>
      </c>
      <c r="I5">
        <v>0</v>
      </c>
      <c r="J5">
        <v>1</v>
      </c>
      <c r="K5">
        <v>250</v>
      </c>
      <c r="L5">
        <v>8</v>
      </c>
      <c r="M5">
        <v>0</v>
      </c>
      <c r="N5" t="s">
        <v>1</v>
      </c>
    </row>
    <row r="6" spans="1:14" x14ac:dyDescent="0.25">
      <c r="A6" t="s">
        <v>6</v>
      </c>
      <c r="B6">
        <v>6</v>
      </c>
      <c r="C6">
        <v>195</v>
      </c>
      <c r="D6">
        <v>76</v>
      </c>
      <c r="E6">
        <v>2</v>
      </c>
      <c r="F6">
        <v>46</v>
      </c>
      <c r="G6">
        <v>4</v>
      </c>
      <c r="H6">
        <v>0</v>
      </c>
      <c r="I6">
        <v>0</v>
      </c>
      <c r="J6">
        <v>1</v>
      </c>
      <c r="K6">
        <v>280</v>
      </c>
      <c r="L6">
        <v>8</v>
      </c>
      <c r="M6">
        <v>1</v>
      </c>
      <c r="N6" t="s">
        <v>5</v>
      </c>
    </row>
    <row r="7" spans="1:14" x14ac:dyDescent="0.25">
      <c r="A7" t="s">
        <v>0</v>
      </c>
      <c r="B7">
        <v>6</v>
      </c>
      <c r="C7">
        <v>197</v>
      </c>
      <c r="D7">
        <v>76</v>
      </c>
      <c r="E7">
        <v>4</v>
      </c>
      <c r="F7">
        <v>41</v>
      </c>
      <c r="G7">
        <v>6</v>
      </c>
      <c r="H7">
        <v>0</v>
      </c>
      <c r="I7">
        <v>0</v>
      </c>
      <c r="J7">
        <v>0</v>
      </c>
      <c r="K7">
        <v>281</v>
      </c>
      <c r="L7">
        <v>8</v>
      </c>
      <c r="M7">
        <v>1</v>
      </c>
      <c r="N7" t="s">
        <v>3</v>
      </c>
    </row>
    <row r="8" spans="1:14" x14ac:dyDescent="0.25">
      <c r="A8" t="s">
        <v>5</v>
      </c>
      <c r="B8">
        <v>6</v>
      </c>
      <c r="C8">
        <v>196</v>
      </c>
      <c r="D8">
        <v>76</v>
      </c>
      <c r="E8">
        <v>1</v>
      </c>
      <c r="F8">
        <v>42</v>
      </c>
      <c r="G8">
        <v>6</v>
      </c>
      <c r="H8">
        <v>0</v>
      </c>
      <c r="I8">
        <v>0</v>
      </c>
      <c r="J8">
        <v>3</v>
      </c>
      <c r="K8">
        <v>340</v>
      </c>
      <c r="L8">
        <v>8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183</v>
      </c>
      <c r="D9">
        <v>52</v>
      </c>
      <c r="E9">
        <v>1</v>
      </c>
      <c r="F9">
        <v>43</v>
      </c>
      <c r="G9">
        <v>6</v>
      </c>
      <c r="H9">
        <v>0</v>
      </c>
      <c r="I9">
        <v>0</v>
      </c>
      <c r="J9">
        <v>3</v>
      </c>
      <c r="K9">
        <v>364</v>
      </c>
      <c r="L9">
        <v>8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2EA6-0981-44CE-8084-A3F4E647AB6C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255</v>
      </c>
      <c r="D2">
        <v>79</v>
      </c>
      <c r="E2">
        <v>4</v>
      </c>
      <c r="F2">
        <v>50</v>
      </c>
      <c r="G2">
        <v>8</v>
      </c>
      <c r="H2">
        <v>0</v>
      </c>
      <c r="I2">
        <v>0</v>
      </c>
      <c r="J2">
        <v>0</v>
      </c>
      <c r="K2">
        <v>122</v>
      </c>
      <c r="L2">
        <v>1</v>
      </c>
      <c r="M2">
        <v>1</v>
      </c>
      <c r="N2" t="s">
        <v>6</v>
      </c>
    </row>
    <row r="3" spans="1:14" x14ac:dyDescent="0.25">
      <c r="A3" t="s">
        <v>2</v>
      </c>
      <c r="B3">
        <v>6</v>
      </c>
      <c r="C3">
        <v>260</v>
      </c>
      <c r="D3">
        <v>90</v>
      </c>
      <c r="E3">
        <v>1</v>
      </c>
      <c r="F3">
        <v>75</v>
      </c>
      <c r="G3">
        <v>5</v>
      </c>
      <c r="H3">
        <v>0</v>
      </c>
      <c r="I3">
        <v>0</v>
      </c>
      <c r="J3">
        <v>1</v>
      </c>
      <c r="K3">
        <v>163</v>
      </c>
      <c r="L3">
        <v>1</v>
      </c>
      <c r="M3">
        <v>1</v>
      </c>
      <c r="N3" t="s">
        <v>30</v>
      </c>
    </row>
    <row r="4" spans="1:14" x14ac:dyDescent="0.25">
      <c r="A4" t="s">
        <v>3</v>
      </c>
      <c r="B4">
        <v>6</v>
      </c>
      <c r="C4">
        <v>249</v>
      </c>
      <c r="D4">
        <v>96</v>
      </c>
      <c r="E4">
        <v>0</v>
      </c>
      <c r="F4">
        <v>80</v>
      </c>
      <c r="G4">
        <v>5</v>
      </c>
      <c r="H4">
        <v>0</v>
      </c>
      <c r="I4">
        <v>0</v>
      </c>
      <c r="J4">
        <v>2</v>
      </c>
      <c r="K4">
        <v>154</v>
      </c>
      <c r="L4">
        <v>1</v>
      </c>
      <c r="M4">
        <v>1</v>
      </c>
      <c r="N4" t="s">
        <v>1</v>
      </c>
    </row>
    <row r="5" spans="1:14" x14ac:dyDescent="0.25">
      <c r="A5" t="s">
        <v>1</v>
      </c>
      <c r="B5">
        <v>6</v>
      </c>
      <c r="C5">
        <v>224</v>
      </c>
      <c r="D5">
        <v>86</v>
      </c>
      <c r="E5">
        <v>3</v>
      </c>
      <c r="F5">
        <v>77</v>
      </c>
      <c r="G5">
        <v>5</v>
      </c>
      <c r="H5">
        <v>0</v>
      </c>
      <c r="I5">
        <v>0</v>
      </c>
      <c r="J5">
        <v>1</v>
      </c>
      <c r="K5">
        <v>172</v>
      </c>
      <c r="L5">
        <v>1</v>
      </c>
      <c r="M5">
        <v>0</v>
      </c>
      <c r="N5" t="s">
        <v>3</v>
      </c>
    </row>
    <row r="6" spans="1:14" x14ac:dyDescent="0.25">
      <c r="A6" t="s">
        <v>6</v>
      </c>
      <c r="B6">
        <v>6</v>
      </c>
      <c r="C6">
        <v>268</v>
      </c>
      <c r="D6">
        <v>81</v>
      </c>
      <c r="E6">
        <v>3</v>
      </c>
      <c r="F6">
        <v>69</v>
      </c>
      <c r="G6">
        <v>11</v>
      </c>
      <c r="H6">
        <v>0</v>
      </c>
      <c r="I6">
        <v>0</v>
      </c>
      <c r="J6">
        <v>0</v>
      </c>
      <c r="K6">
        <v>176</v>
      </c>
      <c r="L6">
        <v>1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257</v>
      </c>
      <c r="D7">
        <v>71</v>
      </c>
      <c r="E7">
        <v>0</v>
      </c>
      <c r="F7">
        <v>62</v>
      </c>
      <c r="G7">
        <v>4</v>
      </c>
      <c r="H7">
        <v>0</v>
      </c>
      <c r="I7">
        <v>0</v>
      </c>
      <c r="J7">
        <v>2</v>
      </c>
      <c r="K7">
        <v>189</v>
      </c>
      <c r="L7">
        <v>1</v>
      </c>
      <c r="M7">
        <v>1</v>
      </c>
      <c r="N7" t="s">
        <v>4</v>
      </c>
    </row>
    <row r="8" spans="1:14" x14ac:dyDescent="0.25">
      <c r="A8" t="s">
        <v>7</v>
      </c>
      <c r="B8">
        <v>6</v>
      </c>
      <c r="C8">
        <v>246</v>
      </c>
      <c r="D8">
        <v>73</v>
      </c>
      <c r="E8">
        <v>0</v>
      </c>
      <c r="F8">
        <v>70</v>
      </c>
      <c r="G8">
        <v>6</v>
      </c>
      <c r="H8">
        <v>0</v>
      </c>
      <c r="I8">
        <v>0</v>
      </c>
      <c r="J8">
        <v>1</v>
      </c>
      <c r="K8">
        <v>224</v>
      </c>
      <c r="L8">
        <v>1</v>
      </c>
      <c r="M8">
        <v>0</v>
      </c>
      <c r="N8" t="s">
        <v>2</v>
      </c>
    </row>
    <row r="9" spans="1:14" x14ac:dyDescent="0.25">
      <c r="A9" t="s">
        <v>4</v>
      </c>
      <c r="B9">
        <v>6</v>
      </c>
      <c r="C9">
        <v>191</v>
      </c>
      <c r="D9">
        <v>55</v>
      </c>
      <c r="E9">
        <v>1</v>
      </c>
      <c r="F9">
        <v>67</v>
      </c>
      <c r="G9">
        <v>9</v>
      </c>
      <c r="H9">
        <v>0</v>
      </c>
      <c r="I9">
        <v>0</v>
      </c>
      <c r="J9">
        <v>1</v>
      </c>
      <c r="K9">
        <v>320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C097B-8052-46F9-973B-D5141B52A3B9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3</v>
      </c>
      <c r="B2">
        <v>6</v>
      </c>
      <c r="C2">
        <v>237</v>
      </c>
      <c r="D2">
        <v>104</v>
      </c>
      <c r="E2">
        <v>5</v>
      </c>
      <c r="F2">
        <v>42</v>
      </c>
      <c r="G2">
        <v>7</v>
      </c>
      <c r="H2">
        <v>0</v>
      </c>
      <c r="I2">
        <v>0</v>
      </c>
      <c r="J2">
        <v>1</v>
      </c>
      <c r="K2">
        <v>177</v>
      </c>
      <c r="L2">
        <v>10</v>
      </c>
      <c r="M2">
        <v>1</v>
      </c>
      <c r="N2" t="s">
        <v>30</v>
      </c>
    </row>
    <row r="3" spans="1:14" x14ac:dyDescent="0.25">
      <c r="A3" t="s">
        <v>0</v>
      </c>
      <c r="B3">
        <v>6</v>
      </c>
      <c r="C3">
        <v>247</v>
      </c>
      <c r="D3">
        <v>95</v>
      </c>
      <c r="E3">
        <v>2</v>
      </c>
      <c r="F3">
        <v>41</v>
      </c>
      <c r="G3">
        <v>10</v>
      </c>
      <c r="H3">
        <v>0</v>
      </c>
      <c r="I3">
        <v>0</v>
      </c>
      <c r="J3">
        <v>1</v>
      </c>
      <c r="K3">
        <v>237</v>
      </c>
      <c r="L3">
        <v>10</v>
      </c>
      <c r="M3">
        <v>1</v>
      </c>
      <c r="N3" t="s">
        <v>5</v>
      </c>
    </row>
    <row r="4" spans="1:14" x14ac:dyDescent="0.25">
      <c r="A4" t="s">
        <v>1</v>
      </c>
      <c r="B4">
        <v>6</v>
      </c>
      <c r="C4">
        <v>271</v>
      </c>
      <c r="D4">
        <v>99</v>
      </c>
      <c r="E4">
        <v>3</v>
      </c>
      <c r="F4">
        <v>55</v>
      </c>
      <c r="G4">
        <v>3</v>
      </c>
      <c r="H4">
        <v>0</v>
      </c>
      <c r="I4">
        <v>0</v>
      </c>
      <c r="J4">
        <v>1</v>
      </c>
      <c r="K4">
        <v>195</v>
      </c>
      <c r="L4">
        <v>10</v>
      </c>
      <c r="M4">
        <v>1</v>
      </c>
      <c r="N4" t="s">
        <v>6</v>
      </c>
    </row>
    <row r="5" spans="1:14" x14ac:dyDescent="0.25">
      <c r="A5" t="s">
        <v>6</v>
      </c>
      <c r="B5">
        <v>6</v>
      </c>
      <c r="C5">
        <v>185</v>
      </c>
      <c r="D5">
        <v>76</v>
      </c>
      <c r="E5">
        <v>7</v>
      </c>
      <c r="F5">
        <v>51</v>
      </c>
      <c r="G5">
        <v>5</v>
      </c>
      <c r="H5">
        <v>0</v>
      </c>
      <c r="I5">
        <v>0</v>
      </c>
      <c r="J5">
        <v>0</v>
      </c>
      <c r="K5">
        <v>290</v>
      </c>
      <c r="L5">
        <v>10</v>
      </c>
      <c r="M5">
        <v>0</v>
      </c>
      <c r="N5" t="s">
        <v>1</v>
      </c>
    </row>
    <row r="6" spans="1:14" x14ac:dyDescent="0.25">
      <c r="A6" t="s">
        <v>7</v>
      </c>
      <c r="B6">
        <v>6</v>
      </c>
      <c r="C6">
        <v>207</v>
      </c>
      <c r="D6">
        <v>87</v>
      </c>
      <c r="E6">
        <v>0</v>
      </c>
      <c r="F6">
        <v>57</v>
      </c>
      <c r="G6">
        <v>9</v>
      </c>
      <c r="H6">
        <v>0</v>
      </c>
      <c r="I6">
        <v>0</v>
      </c>
      <c r="J6">
        <v>0</v>
      </c>
      <c r="K6">
        <v>325</v>
      </c>
      <c r="L6">
        <v>10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195</v>
      </c>
      <c r="D7">
        <v>76</v>
      </c>
      <c r="E7">
        <v>0</v>
      </c>
      <c r="F7">
        <v>45</v>
      </c>
      <c r="G7">
        <v>5</v>
      </c>
      <c r="H7">
        <v>0</v>
      </c>
      <c r="I7">
        <v>0</v>
      </c>
      <c r="J7">
        <v>3</v>
      </c>
      <c r="K7">
        <v>343</v>
      </c>
      <c r="L7">
        <v>10</v>
      </c>
      <c r="M7">
        <v>0</v>
      </c>
      <c r="N7" t="s">
        <v>0</v>
      </c>
    </row>
    <row r="8" spans="1:14" x14ac:dyDescent="0.25">
      <c r="A8" t="s">
        <v>4</v>
      </c>
      <c r="B8">
        <v>5</v>
      </c>
      <c r="C8">
        <v>158</v>
      </c>
      <c r="D8">
        <v>75</v>
      </c>
      <c r="E8">
        <v>1</v>
      </c>
      <c r="F8">
        <v>46</v>
      </c>
      <c r="G8">
        <v>7</v>
      </c>
      <c r="H8">
        <v>0</v>
      </c>
      <c r="I8">
        <v>0</v>
      </c>
      <c r="J8">
        <v>1</v>
      </c>
      <c r="K8">
        <v>243</v>
      </c>
      <c r="L8">
        <v>10</v>
      </c>
      <c r="M8">
        <v>1</v>
      </c>
      <c r="N8" t="s">
        <v>2</v>
      </c>
    </row>
    <row r="9" spans="1:14" x14ac:dyDescent="0.25">
      <c r="A9" t="s">
        <v>2</v>
      </c>
      <c r="B9">
        <v>6</v>
      </c>
      <c r="C9">
        <v>147</v>
      </c>
      <c r="D9">
        <v>60</v>
      </c>
      <c r="E9">
        <v>2</v>
      </c>
      <c r="F9">
        <v>32</v>
      </c>
      <c r="G9">
        <v>9</v>
      </c>
      <c r="H9">
        <v>0</v>
      </c>
      <c r="I9">
        <v>0</v>
      </c>
      <c r="J9">
        <v>2</v>
      </c>
      <c r="K9">
        <v>372</v>
      </c>
      <c r="L9">
        <v>10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4FA20-3108-4F88-BA74-21C3806A20C6}">
  <dimension ref="A1:N9"/>
  <sheetViews>
    <sheetView workbookViewId="0">
      <selection activeCell="M2" sqref="M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278</v>
      </c>
      <c r="D2">
        <v>82</v>
      </c>
      <c r="E2">
        <v>2</v>
      </c>
      <c r="F2">
        <v>68</v>
      </c>
      <c r="G2">
        <v>2</v>
      </c>
      <c r="H2">
        <v>0</v>
      </c>
      <c r="I2">
        <v>0</v>
      </c>
      <c r="J2">
        <v>0</v>
      </c>
      <c r="K2">
        <v>189</v>
      </c>
      <c r="L2">
        <v>1</v>
      </c>
      <c r="M2">
        <v>1</v>
      </c>
      <c r="N2" t="s">
        <v>1</v>
      </c>
    </row>
    <row r="3" spans="1:14" x14ac:dyDescent="0.25">
      <c r="A3" t="s">
        <v>7</v>
      </c>
      <c r="B3">
        <v>6</v>
      </c>
      <c r="C3">
        <v>262</v>
      </c>
      <c r="D3">
        <v>73</v>
      </c>
      <c r="E3">
        <v>3</v>
      </c>
      <c r="F3">
        <v>53</v>
      </c>
      <c r="G3">
        <v>5</v>
      </c>
      <c r="H3">
        <v>0</v>
      </c>
      <c r="I3">
        <v>0</v>
      </c>
      <c r="J3">
        <v>0</v>
      </c>
      <c r="K3">
        <v>197</v>
      </c>
      <c r="L3">
        <v>1</v>
      </c>
      <c r="M3">
        <v>1</v>
      </c>
      <c r="N3" t="s">
        <v>6</v>
      </c>
    </row>
    <row r="4" spans="1:14" x14ac:dyDescent="0.25">
      <c r="A4" t="s">
        <v>2</v>
      </c>
      <c r="B4">
        <v>6</v>
      </c>
      <c r="C4">
        <v>256</v>
      </c>
      <c r="D4">
        <v>70</v>
      </c>
      <c r="E4">
        <v>2</v>
      </c>
      <c r="F4">
        <v>64</v>
      </c>
      <c r="G4">
        <v>4</v>
      </c>
      <c r="H4">
        <v>0</v>
      </c>
      <c r="I4">
        <v>0</v>
      </c>
      <c r="J4">
        <v>0</v>
      </c>
      <c r="K4">
        <v>261</v>
      </c>
      <c r="L4">
        <v>1</v>
      </c>
      <c r="M4">
        <v>1</v>
      </c>
      <c r="N4" t="s">
        <v>5</v>
      </c>
    </row>
    <row r="5" spans="1:14" x14ac:dyDescent="0.25">
      <c r="A5" t="s">
        <v>4</v>
      </c>
      <c r="B5">
        <v>6</v>
      </c>
      <c r="C5">
        <v>199</v>
      </c>
      <c r="D5">
        <v>67</v>
      </c>
      <c r="E5">
        <v>0</v>
      </c>
      <c r="F5">
        <v>55</v>
      </c>
      <c r="G5">
        <v>3</v>
      </c>
      <c r="H5">
        <v>0</v>
      </c>
      <c r="I5">
        <v>0</v>
      </c>
      <c r="J5">
        <v>0</v>
      </c>
      <c r="K5">
        <v>317</v>
      </c>
      <c r="L5">
        <v>1</v>
      </c>
      <c r="M5">
        <v>1</v>
      </c>
      <c r="N5" t="s">
        <v>3</v>
      </c>
    </row>
    <row r="6" spans="1:14" x14ac:dyDescent="0.25">
      <c r="A6" t="s">
        <v>3</v>
      </c>
      <c r="B6">
        <v>6</v>
      </c>
      <c r="C6">
        <v>174</v>
      </c>
      <c r="D6">
        <v>63</v>
      </c>
      <c r="E6">
        <v>1</v>
      </c>
      <c r="F6">
        <v>42</v>
      </c>
      <c r="G6">
        <v>7</v>
      </c>
      <c r="H6">
        <v>0</v>
      </c>
      <c r="I6">
        <v>0</v>
      </c>
      <c r="J6">
        <v>1</v>
      </c>
      <c r="K6">
        <v>334</v>
      </c>
      <c r="L6">
        <v>1</v>
      </c>
      <c r="M6">
        <v>0</v>
      </c>
      <c r="N6" t="s">
        <v>4</v>
      </c>
    </row>
    <row r="7" spans="1:14" x14ac:dyDescent="0.25">
      <c r="A7" t="s">
        <v>6</v>
      </c>
      <c r="B7">
        <v>3</v>
      </c>
      <c r="C7">
        <v>140</v>
      </c>
      <c r="D7">
        <v>44</v>
      </c>
      <c r="E7">
        <v>1</v>
      </c>
      <c r="F7">
        <v>27</v>
      </c>
      <c r="G7">
        <v>4</v>
      </c>
      <c r="H7">
        <v>0</v>
      </c>
      <c r="I7">
        <v>0</v>
      </c>
      <c r="J7">
        <v>0</v>
      </c>
      <c r="K7">
        <v>83</v>
      </c>
      <c r="L7">
        <v>1</v>
      </c>
      <c r="M7">
        <v>0</v>
      </c>
      <c r="N7" t="s">
        <v>30</v>
      </c>
    </row>
    <row r="8" spans="1:14" x14ac:dyDescent="0.25">
      <c r="A8" t="s">
        <v>5</v>
      </c>
      <c r="B8">
        <v>6</v>
      </c>
      <c r="C8">
        <v>165</v>
      </c>
      <c r="D8">
        <v>35</v>
      </c>
      <c r="E8">
        <v>0</v>
      </c>
      <c r="F8">
        <v>44</v>
      </c>
      <c r="G8">
        <v>7</v>
      </c>
      <c r="H8">
        <v>0</v>
      </c>
      <c r="I8">
        <v>0</v>
      </c>
      <c r="J8">
        <v>1</v>
      </c>
      <c r="K8">
        <v>451</v>
      </c>
      <c r="L8">
        <v>1</v>
      </c>
      <c r="M8">
        <v>0</v>
      </c>
      <c r="N8" t="s">
        <v>2</v>
      </c>
    </row>
    <row r="9" spans="1:14" x14ac:dyDescent="0.25">
      <c r="A9" t="s">
        <v>1</v>
      </c>
      <c r="B9">
        <v>4</v>
      </c>
      <c r="C9">
        <v>111</v>
      </c>
      <c r="D9">
        <v>32</v>
      </c>
      <c r="E9">
        <v>0</v>
      </c>
      <c r="F9">
        <v>35</v>
      </c>
      <c r="G9">
        <v>2</v>
      </c>
      <c r="H9">
        <v>0</v>
      </c>
      <c r="I9">
        <v>0</v>
      </c>
      <c r="J9">
        <v>0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63024-ACDD-4A98-A4FD-116F661FF6FD}">
  <dimension ref="A1:N9"/>
  <sheetViews>
    <sheetView workbookViewId="0">
      <selection activeCell="A11" sqref="A11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90</v>
      </c>
      <c r="E2">
        <v>1</v>
      </c>
      <c r="F2">
        <v>57</v>
      </c>
      <c r="G2">
        <v>6</v>
      </c>
      <c r="H2">
        <v>0</v>
      </c>
      <c r="I2">
        <v>0</v>
      </c>
      <c r="J2">
        <v>0</v>
      </c>
      <c r="K2">
        <v>230</v>
      </c>
      <c r="L2">
        <v>12</v>
      </c>
      <c r="M2">
        <v>1</v>
      </c>
      <c r="N2" t="s">
        <v>30</v>
      </c>
    </row>
    <row r="3" spans="1:14" x14ac:dyDescent="0.25">
      <c r="A3" t="s">
        <v>7</v>
      </c>
      <c r="B3">
        <v>6</v>
      </c>
      <c r="C3">
        <v>264</v>
      </c>
      <c r="D3">
        <v>76</v>
      </c>
      <c r="E3">
        <v>2</v>
      </c>
      <c r="F3">
        <v>51</v>
      </c>
      <c r="G3">
        <v>3</v>
      </c>
      <c r="H3">
        <v>0</v>
      </c>
      <c r="I3">
        <v>1</v>
      </c>
      <c r="J3">
        <v>0</v>
      </c>
      <c r="K3">
        <v>230</v>
      </c>
      <c r="L3">
        <v>12</v>
      </c>
      <c r="M3">
        <v>0</v>
      </c>
      <c r="N3" t="s">
        <v>0</v>
      </c>
    </row>
    <row r="4" spans="1:14" x14ac:dyDescent="0.25">
      <c r="A4" t="s">
        <v>2</v>
      </c>
      <c r="B4">
        <v>6</v>
      </c>
      <c r="C4">
        <v>229</v>
      </c>
      <c r="D4">
        <v>78</v>
      </c>
      <c r="E4">
        <v>0</v>
      </c>
      <c r="F4">
        <v>50</v>
      </c>
      <c r="G4">
        <v>3</v>
      </c>
      <c r="H4">
        <v>0</v>
      </c>
      <c r="I4">
        <v>0</v>
      </c>
      <c r="J4">
        <v>0</v>
      </c>
      <c r="K4">
        <v>243</v>
      </c>
      <c r="L4">
        <v>12</v>
      </c>
      <c r="M4">
        <v>1</v>
      </c>
      <c r="N4" t="s">
        <v>3</v>
      </c>
    </row>
    <row r="5" spans="1:14" x14ac:dyDescent="0.25">
      <c r="A5" t="s">
        <v>6</v>
      </c>
      <c r="B5">
        <v>6</v>
      </c>
      <c r="C5">
        <v>227</v>
      </c>
      <c r="D5">
        <v>66</v>
      </c>
      <c r="E5">
        <v>4</v>
      </c>
      <c r="F5">
        <v>58</v>
      </c>
      <c r="G5">
        <v>5</v>
      </c>
      <c r="H5">
        <v>0</v>
      </c>
      <c r="I5">
        <v>0</v>
      </c>
      <c r="J5">
        <v>0</v>
      </c>
      <c r="K5">
        <v>274</v>
      </c>
      <c r="L5">
        <v>12</v>
      </c>
      <c r="M5">
        <v>1</v>
      </c>
      <c r="N5" t="s">
        <v>4</v>
      </c>
    </row>
    <row r="6" spans="1:14" x14ac:dyDescent="0.25">
      <c r="A6" t="s">
        <v>4</v>
      </c>
      <c r="B6">
        <v>6</v>
      </c>
      <c r="C6">
        <v>253</v>
      </c>
      <c r="D6">
        <v>75</v>
      </c>
      <c r="E6">
        <v>0</v>
      </c>
      <c r="F6">
        <v>64</v>
      </c>
      <c r="G6">
        <v>4</v>
      </c>
      <c r="H6">
        <v>0</v>
      </c>
      <c r="I6">
        <v>0</v>
      </c>
      <c r="J6">
        <v>0</v>
      </c>
      <c r="K6">
        <v>302</v>
      </c>
      <c r="L6">
        <v>12</v>
      </c>
      <c r="M6">
        <v>0</v>
      </c>
      <c r="N6" t="s">
        <v>6</v>
      </c>
    </row>
    <row r="7" spans="1:14" x14ac:dyDescent="0.25">
      <c r="A7" t="s">
        <v>3</v>
      </c>
      <c r="B7">
        <v>6</v>
      </c>
      <c r="C7">
        <v>234</v>
      </c>
      <c r="D7">
        <v>55</v>
      </c>
      <c r="E7">
        <v>0</v>
      </c>
      <c r="F7">
        <v>31</v>
      </c>
      <c r="G7">
        <v>4</v>
      </c>
      <c r="H7">
        <v>0</v>
      </c>
      <c r="I7">
        <v>0</v>
      </c>
      <c r="J7">
        <v>0</v>
      </c>
      <c r="K7">
        <v>303</v>
      </c>
      <c r="L7">
        <v>12</v>
      </c>
      <c r="M7">
        <v>0</v>
      </c>
      <c r="N7" t="s">
        <v>2</v>
      </c>
    </row>
    <row r="8" spans="1:14" x14ac:dyDescent="0.25">
      <c r="A8" t="s">
        <v>5</v>
      </c>
      <c r="B8">
        <v>5</v>
      </c>
      <c r="C8">
        <v>211</v>
      </c>
      <c r="D8">
        <v>55</v>
      </c>
      <c r="E8">
        <v>1</v>
      </c>
      <c r="F8">
        <v>54</v>
      </c>
      <c r="G8">
        <v>3</v>
      </c>
      <c r="H8">
        <v>0</v>
      </c>
      <c r="I8">
        <v>0</v>
      </c>
      <c r="J8">
        <v>0</v>
      </c>
      <c r="K8">
        <v>299</v>
      </c>
      <c r="L8">
        <v>12</v>
      </c>
      <c r="M8">
        <v>1</v>
      </c>
      <c r="N8" t="s">
        <v>1</v>
      </c>
    </row>
    <row r="9" spans="1:14" x14ac:dyDescent="0.25">
      <c r="A9" t="s">
        <v>1</v>
      </c>
      <c r="B9">
        <v>5</v>
      </c>
      <c r="C9">
        <v>160</v>
      </c>
      <c r="D9">
        <v>43</v>
      </c>
      <c r="E9">
        <v>2</v>
      </c>
      <c r="F9">
        <v>42</v>
      </c>
      <c r="G9">
        <v>5</v>
      </c>
      <c r="H9">
        <v>0</v>
      </c>
      <c r="I9">
        <v>0</v>
      </c>
      <c r="J9">
        <v>0</v>
      </c>
      <c r="K9">
        <v>296</v>
      </c>
      <c r="L9">
        <v>12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8F8D3-8B37-4CEE-AD79-B41DEA559BF0}">
  <dimension ref="A1:N9"/>
  <sheetViews>
    <sheetView workbookViewId="0">
      <selection activeCell="O1" sqref="O1"/>
    </sheetView>
  </sheetViews>
  <sheetFormatPr defaultRowHeight="15" x14ac:dyDescent="0.25"/>
  <cols>
    <col min="1" max="1" width="13.28515625" bestFit="1" customWidth="1"/>
    <col min="14" max="14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282</v>
      </c>
      <c r="D2">
        <v>95</v>
      </c>
      <c r="E2">
        <v>3</v>
      </c>
      <c r="F2">
        <v>51</v>
      </c>
      <c r="G2">
        <v>1</v>
      </c>
      <c r="H2">
        <v>0</v>
      </c>
      <c r="I2">
        <v>0</v>
      </c>
      <c r="J2">
        <v>0</v>
      </c>
      <c r="K2">
        <v>87</v>
      </c>
      <c r="L2">
        <v>1</v>
      </c>
      <c r="M2">
        <v>1</v>
      </c>
      <c r="N2" t="s">
        <v>30</v>
      </c>
    </row>
    <row r="3" spans="1:14" x14ac:dyDescent="0.25">
      <c r="A3" t="s">
        <v>5</v>
      </c>
      <c r="B3">
        <v>6</v>
      </c>
      <c r="C3">
        <v>270</v>
      </c>
      <c r="D3">
        <v>94</v>
      </c>
      <c r="E3">
        <v>0</v>
      </c>
      <c r="F3">
        <v>63</v>
      </c>
      <c r="G3">
        <v>5</v>
      </c>
      <c r="H3">
        <v>0</v>
      </c>
      <c r="I3">
        <v>0</v>
      </c>
      <c r="J3">
        <v>0</v>
      </c>
      <c r="K3">
        <v>168</v>
      </c>
      <c r="L3">
        <v>1</v>
      </c>
      <c r="M3">
        <v>1</v>
      </c>
      <c r="N3" t="s">
        <v>3</v>
      </c>
    </row>
    <row r="4" spans="1:14" x14ac:dyDescent="0.25">
      <c r="A4" t="s">
        <v>6</v>
      </c>
      <c r="B4">
        <v>6</v>
      </c>
      <c r="C4">
        <v>233</v>
      </c>
      <c r="D4">
        <v>79</v>
      </c>
      <c r="E4">
        <v>0</v>
      </c>
      <c r="F4">
        <v>41</v>
      </c>
      <c r="G4">
        <v>7</v>
      </c>
      <c r="H4">
        <v>0</v>
      </c>
      <c r="I4">
        <v>0</v>
      </c>
      <c r="J4">
        <v>0</v>
      </c>
      <c r="K4">
        <v>253</v>
      </c>
      <c r="L4">
        <v>1</v>
      </c>
      <c r="M4">
        <v>1</v>
      </c>
      <c r="N4" t="s">
        <v>2</v>
      </c>
    </row>
    <row r="5" spans="1:14" x14ac:dyDescent="0.25">
      <c r="A5" t="s">
        <v>4</v>
      </c>
      <c r="B5">
        <v>6</v>
      </c>
      <c r="C5">
        <v>258</v>
      </c>
      <c r="D5">
        <v>70</v>
      </c>
      <c r="E5">
        <v>1</v>
      </c>
      <c r="F5">
        <v>63</v>
      </c>
      <c r="G5">
        <v>4</v>
      </c>
      <c r="H5">
        <v>0</v>
      </c>
      <c r="I5">
        <v>0</v>
      </c>
      <c r="J5">
        <v>0</v>
      </c>
      <c r="K5">
        <v>289</v>
      </c>
      <c r="L5">
        <v>1</v>
      </c>
      <c r="M5">
        <v>1</v>
      </c>
      <c r="N5" t="s">
        <v>0</v>
      </c>
    </row>
    <row r="6" spans="1:14" x14ac:dyDescent="0.25">
      <c r="A6" t="s">
        <v>7</v>
      </c>
      <c r="B6">
        <v>6</v>
      </c>
      <c r="C6">
        <v>230</v>
      </c>
      <c r="D6">
        <v>68</v>
      </c>
      <c r="E6">
        <v>1</v>
      </c>
      <c r="F6">
        <v>52</v>
      </c>
      <c r="G6">
        <v>8</v>
      </c>
      <c r="H6">
        <v>0</v>
      </c>
      <c r="I6">
        <v>0</v>
      </c>
      <c r="J6">
        <v>1</v>
      </c>
      <c r="K6">
        <v>286</v>
      </c>
      <c r="L6">
        <v>1</v>
      </c>
      <c r="M6">
        <v>0</v>
      </c>
      <c r="N6" t="s">
        <v>1</v>
      </c>
    </row>
    <row r="7" spans="1:14" x14ac:dyDescent="0.25">
      <c r="A7" t="s">
        <v>3</v>
      </c>
      <c r="B7">
        <v>6</v>
      </c>
      <c r="C7">
        <v>225</v>
      </c>
      <c r="D7">
        <v>71</v>
      </c>
      <c r="E7">
        <v>1</v>
      </c>
      <c r="F7">
        <v>54</v>
      </c>
      <c r="G7">
        <v>9</v>
      </c>
      <c r="H7">
        <v>0</v>
      </c>
      <c r="I7">
        <v>1</v>
      </c>
      <c r="J7">
        <v>0</v>
      </c>
      <c r="K7">
        <v>310</v>
      </c>
      <c r="L7">
        <v>1</v>
      </c>
      <c r="M7">
        <v>0</v>
      </c>
      <c r="N7" t="s">
        <v>5</v>
      </c>
    </row>
    <row r="8" spans="1:14" x14ac:dyDescent="0.25">
      <c r="A8" t="s">
        <v>0</v>
      </c>
      <c r="B8">
        <v>6</v>
      </c>
      <c r="C8">
        <v>234</v>
      </c>
      <c r="D8">
        <v>60</v>
      </c>
      <c r="E8">
        <v>0</v>
      </c>
      <c r="F8">
        <v>57</v>
      </c>
      <c r="G8">
        <v>8</v>
      </c>
      <c r="H8">
        <v>0</v>
      </c>
      <c r="I8">
        <v>0</v>
      </c>
      <c r="J8">
        <v>1</v>
      </c>
      <c r="K8">
        <v>364</v>
      </c>
      <c r="L8">
        <v>1</v>
      </c>
      <c r="M8">
        <v>0</v>
      </c>
      <c r="N8" t="s">
        <v>4</v>
      </c>
    </row>
    <row r="9" spans="1:14" x14ac:dyDescent="0.25">
      <c r="A9" t="s">
        <v>2</v>
      </c>
      <c r="B9">
        <v>6</v>
      </c>
      <c r="C9">
        <v>174</v>
      </c>
      <c r="D9">
        <v>55</v>
      </c>
      <c r="E9">
        <v>1</v>
      </c>
      <c r="F9">
        <v>50</v>
      </c>
      <c r="G9">
        <v>8</v>
      </c>
      <c r="H9">
        <v>0</v>
      </c>
      <c r="I9">
        <v>0</v>
      </c>
      <c r="J9">
        <v>0</v>
      </c>
      <c r="K9">
        <v>376</v>
      </c>
      <c r="L9">
        <v>1</v>
      </c>
      <c r="M9">
        <v>0</v>
      </c>
      <c r="N9" t="s">
        <v>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5CA4A-3A08-41A6-B9C5-7A8938BC1D2D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5</v>
      </c>
      <c r="B2">
        <v>6</v>
      </c>
      <c r="C2">
        <v>253</v>
      </c>
      <c r="D2">
        <v>69</v>
      </c>
      <c r="E2">
        <v>1</v>
      </c>
      <c r="F2">
        <v>65</v>
      </c>
      <c r="G2">
        <v>8</v>
      </c>
      <c r="H2">
        <v>0</v>
      </c>
      <c r="I2">
        <v>0</v>
      </c>
      <c r="J2">
        <v>0</v>
      </c>
      <c r="K2">
        <v>132</v>
      </c>
      <c r="L2">
        <v>1</v>
      </c>
      <c r="M2">
        <v>1</v>
      </c>
      <c r="N2" t="s">
        <v>30</v>
      </c>
    </row>
    <row r="3" spans="1:14" x14ac:dyDescent="0.25">
      <c r="A3" t="s">
        <v>4</v>
      </c>
      <c r="B3">
        <v>6</v>
      </c>
      <c r="C3">
        <v>228</v>
      </c>
      <c r="D3">
        <v>80</v>
      </c>
      <c r="E3">
        <v>0</v>
      </c>
      <c r="F3">
        <v>78</v>
      </c>
      <c r="G3">
        <v>8</v>
      </c>
      <c r="H3">
        <v>0</v>
      </c>
      <c r="I3">
        <v>0</v>
      </c>
      <c r="J3">
        <v>2</v>
      </c>
      <c r="K3">
        <v>143</v>
      </c>
      <c r="L3">
        <v>1</v>
      </c>
      <c r="M3">
        <v>1</v>
      </c>
      <c r="N3" t="s">
        <v>1</v>
      </c>
    </row>
    <row r="4" spans="1:14" x14ac:dyDescent="0.25">
      <c r="A4" t="s">
        <v>1</v>
      </c>
      <c r="B4">
        <v>6</v>
      </c>
      <c r="C4">
        <v>276</v>
      </c>
      <c r="D4">
        <v>63</v>
      </c>
      <c r="E4">
        <v>3</v>
      </c>
      <c r="F4">
        <v>83</v>
      </c>
      <c r="G4">
        <v>7</v>
      </c>
      <c r="H4">
        <v>0</v>
      </c>
      <c r="I4">
        <v>0</v>
      </c>
      <c r="J4">
        <v>0</v>
      </c>
      <c r="K4">
        <v>173</v>
      </c>
      <c r="L4">
        <v>1</v>
      </c>
      <c r="M4">
        <v>0</v>
      </c>
      <c r="N4" t="s">
        <v>4</v>
      </c>
    </row>
    <row r="5" spans="1:14" x14ac:dyDescent="0.25">
      <c r="A5" t="s">
        <v>6</v>
      </c>
      <c r="B5">
        <v>6</v>
      </c>
      <c r="C5">
        <v>246</v>
      </c>
      <c r="D5">
        <v>71</v>
      </c>
      <c r="E5">
        <v>0</v>
      </c>
      <c r="F5">
        <v>63</v>
      </c>
      <c r="G5">
        <v>16</v>
      </c>
      <c r="H5">
        <v>0</v>
      </c>
      <c r="I5">
        <v>0</v>
      </c>
      <c r="J5">
        <v>0</v>
      </c>
      <c r="K5">
        <v>191</v>
      </c>
      <c r="L5">
        <v>1</v>
      </c>
      <c r="M5">
        <v>1</v>
      </c>
      <c r="N5" t="s">
        <v>3</v>
      </c>
    </row>
    <row r="6" spans="1:14" x14ac:dyDescent="0.25">
      <c r="A6" t="s">
        <v>0</v>
      </c>
      <c r="B6">
        <v>6</v>
      </c>
      <c r="C6">
        <v>200</v>
      </c>
      <c r="D6">
        <v>63</v>
      </c>
      <c r="E6">
        <v>2</v>
      </c>
      <c r="F6">
        <v>89</v>
      </c>
      <c r="G6">
        <v>5</v>
      </c>
      <c r="H6">
        <v>0</v>
      </c>
      <c r="I6">
        <v>0</v>
      </c>
      <c r="J6">
        <v>1</v>
      </c>
      <c r="K6">
        <v>220</v>
      </c>
      <c r="L6">
        <v>1</v>
      </c>
      <c r="M6">
        <v>1</v>
      </c>
      <c r="N6" t="s">
        <v>2</v>
      </c>
    </row>
    <row r="7" spans="1:14" x14ac:dyDescent="0.25">
      <c r="A7" t="s">
        <v>30</v>
      </c>
      <c r="B7">
        <v>6</v>
      </c>
      <c r="C7">
        <v>237</v>
      </c>
      <c r="D7">
        <v>67</v>
      </c>
      <c r="E7">
        <v>1</v>
      </c>
      <c r="F7">
        <v>78</v>
      </c>
      <c r="G7">
        <v>12</v>
      </c>
      <c r="H7">
        <v>0</v>
      </c>
      <c r="I7">
        <v>0</v>
      </c>
      <c r="J7">
        <v>1</v>
      </c>
      <c r="K7">
        <v>209</v>
      </c>
      <c r="L7">
        <v>1</v>
      </c>
      <c r="M7">
        <v>0</v>
      </c>
      <c r="N7" t="s">
        <v>5</v>
      </c>
    </row>
    <row r="8" spans="1:14" x14ac:dyDescent="0.25">
      <c r="A8" t="s">
        <v>3</v>
      </c>
      <c r="B8">
        <v>6</v>
      </c>
      <c r="C8">
        <v>210</v>
      </c>
      <c r="D8">
        <v>48</v>
      </c>
      <c r="E8">
        <v>0</v>
      </c>
      <c r="F8">
        <v>52</v>
      </c>
      <c r="G8">
        <v>12</v>
      </c>
      <c r="H8">
        <v>0</v>
      </c>
      <c r="I8">
        <v>0</v>
      </c>
      <c r="J8">
        <v>2</v>
      </c>
      <c r="K8">
        <v>240</v>
      </c>
      <c r="L8">
        <v>1</v>
      </c>
      <c r="M8">
        <v>0</v>
      </c>
      <c r="N8" t="s">
        <v>6</v>
      </c>
    </row>
    <row r="9" spans="1:14" x14ac:dyDescent="0.25">
      <c r="A9" t="s">
        <v>2</v>
      </c>
      <c r="B9">
        <v>6</v>
      </c>
      <c r="C9">
        <v>192</v>
      </c>
      <c r="D9">
        <v>52</v>
      </c>
      <c r="E9">
        <v>0</v>
      </c>
      <c r="F9">
        <v>70</v>
      </c>
      <c r="G9">
        <v>9</v>
      </c>
      <c r="H9">
        <v>0</v>
      </c>
      <c r="I9">
        <v>0</v>
      </c>
      <c r="J9">
        <v>1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64FBF-30A6-496D-96F8-5095370E688E}">
  <dimension ref="A1:N9"/>
  <sheetViews>
    <sheetView workbookViewId="0">
      <selection activeCell="L9" sqref="A2:L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283</v>
      </c>
      <c r="D2">
        <v>98</v>
      </c>
      <c r="E2">
        <v>3</v>
      </c>
      <c r="F2">
        <v>41</v>
      </c>
      <c r="G2">
        <v>7</v>
      </c>
      <c r="H2">
        <v>0</v>
      </c>
      <c r="I2">
        <v>0</v>
      </c>
      <c r="J2">
        <v>0</v>
      </c>
      <c r="K2">
        <v>188</v>
      </c>
      <c r="L2">
        <v>1</v>
      </c>
    </row>
    <row r="3" spans="1:14" x14ac:dyDescent="0.25">
      <c r="A3" t="s">
        <v>6</v>
      </c>
      <c r="B3">
        <v>6</v>
      </c>
      <c r="C3">
        <v>277</v>
      </c>
      <c r="D3">
        <v>100</v>
      </c>
      <c r="E3">
        <v>5</v>
      </c>
      <c r="F3">
        <v>41</v>
      </c>
      <c r="G3">
        <v>9</v>
      </c>
      <c r="H3">
        <v>0</v>
      </c>
      <c r="I3">
        <v>0</v>
      </c>
      <c r="J3">
        <v>0</v>
      </c>
      <c r="K3">
        <v>146</v>
      </c>
      <c r="L3">
        <v>1</v>
      </c>
    </row>
    <row r="4" spans="1:14" x14ac:dyDescent="0.25">
      <c r="A4" t="s">
        <v>4</v>
      </c>
      <c r="B4">
        <v>6</v>
      </c>
      <c r="C4">
        <v>266</v>
      </c>
      <c r="D4">
        <v>111</v>
      </c>
      <c r="E4">
        <v>0</v>
      </c>
      <c r="F4">
        <v>46</v>
      </c>
      <c r="G4">
        <v>9</v>
      </c>
      <c r="H4">
        <v>0</v>
      </c>
      <c r="I4">
        <v>0</v>
      </c>
      <c r="J4">
        <v>0</v>
      </c>
      <c r="K4">
        <v>173</v>
      </c>
      <c r="L4">
        <v>1</v>
      </c>
    </row>
    <row r="5" spans="1:14" x14ac:dyDescent="0.25">
      <c r="A5" t="s">
        <v>3</v>
      </c>
      <c r="B5">
        <v>6</v>
      </c>
      <c r="C5">
        <v>278</v>
      </c>
      <c r="D5">
        <v>100</v>
      </c>
      <c r="E5">
        <v>3</v>
      </c>
      <c r="F5">
        <v>43</v>
      </c>
      <c r="G5">
        <v>8</v>
      </c>
      <c r="H5">
        <v>0</v>
      </c>
      <c r="I5">
        <v>0</v>
      </c>
      <c r="J5">
        <v>0</v>
      </c>
      <c r="K5">
        <v>159</v>
      </c>
      <c r="L5">
        <v>1</v>
      </c>
    </row>
    <row r="6" spans="1:14" x14ac:dyDescent="0.25">
      <c r="A6" t="s">
        <v>5</v>
      </c>
      <c r="B6">
        <v>6</v>
      </c>
      <c r="C6">
        <v>280</v>
      </c>
      <c r="D6">
        <v>100</v>
      </c>
      <c r="E6">
        <v>2</v>
      </c>
      <c r="F6">
        <v>45</v>
      </c>
      <c r="G6">
        <v>5</v>
      </c>
      <c r="H6">
        <v>0</v>
      </c>
      <c r="I6">
        <v>0</v>
      </c>
      <c r="J6">
        <v>0</v>
      </c>
      <c r="K6">
        <v>151</v>
      </c>
      <c r="L6">
        <v>1</v>
      </c>
    </row>
    <row r="7" spans="1:14" x14ac:dyDescent="0.25">
      <c r="A7" t="s">
        <v>1</v>
      </c>
      <c r="B7">
        <v>6</v>
      </c>
      <c r="C7">
        <v>287</v>
      </c>
      <c r="D7">
        <v>93</v>
      </c>
      <c r="E7">
        <v>1</v>
      </c>
      <c r="F7">
        <v>47</v>
      </c>
      <c r="G7">
        <v>3</v>
      </c>
      <c r="H7">
        <v>0</v>
      </c>
      <c r="I7">
        <v>0</v>
      </c>
      <c r="J7">
        <v>1</v>
      </c>
      <c r="K7">
        <v>205</v>
      </c>
      <c r="L7">
        <v>1</v>
      </c>
    </row>
    <row r="8" spans="1:14" x14ac:dyDescent="0.25">
      <c r="A8" t="s">
        <v>7</v>
      </c>
      <c r="B8">
        <v>6</v>
      </c>
      <c r="C8">
        <v>296</v>
      </c>
      <c r="D8">
        <v>89</v>
      </c>
      <c r="E8">
        <v>1</v>
      </c>
      <c r="F8">
        <v>35</v>
      </c>
      <c r="G8">
        <v>11</v>
      </c>
      <c r="H8">
        <v>0</v>
      </c>
      <c r="I8">
        <v>0</v>
      </c>
      <c r="J8">
        <v>0</v>
      </c>
      <c r="K8">
        <v>204</v>
      </c>
      <c r="L8">
        <v>1</v>
      </c>
    </row>
    <row r="9" spans="1:14" x14ac:dyDescent="0.25">
      <c r="A9" t="s">
        <v>2</v>
      </c>
      <c r="B9">
        <v>5</v>
      </c>
      <c r="C9">
        <v>235</v>
      </c>
      <c r="D9">
        <v>77</v>
      </c>
      <c r="E9">
        <v>4</v>
      </c>
      <c r="F9">
        <v>36</v>
      </c>
      <c r="G9">
        <v>7</v>
      </c>
      <c r="H9">
        <v>0</v>
      </c>
      <c r="I9">
        <v>0</v>
      </c>
      <c r="J9">
        <v>1</v>
      </c>
      <c r="K9">
        <v>170</v>
      </c>
      <c r="L9"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D809F-C21C-40E4-94A2-7B375A7E618C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226</v>
      </c>
      <c r="D2">
        <v>107</v>
      </c>
      <c r="E2">
        <v>2</v>
      </c>
      <c r="F2">
        <v>25</v>
      </c>
      <c r="G2">
        <v>0</v>
      </c>
      <c r="H2">
        <v>0</v>
      </c>
      <c r="I2">
        <v>0</v>
      </c>
      <c r="J2">
        <v>0</v>
      </c>
      <c r="K2">
        <v>168</v>
      </c>
      <c r="L2">
        <v>1</v>
      </c>
      <c r="M2">
        <v>1</v>
      </c>
      <c r="N2" t="s">
        <v>3</v>
      </c>
    </row>
    <row r="3" spans="1:14" x14ac:dyDescent="0.25">
      <c r="A3" t="s">
        <v>2</v>
      </c>
      <c r="B3">
        <v>6</v>
      </c>
      <c r="C3">
        <v>253</v>
      </c>
      <c r="D3">
        <v>112</v>
      </c>
      <c r="E3">
        <v>3</v>
      </c>
      <c r="F3">
        <v>26</v>
      </c>
      <c r="G3">
        <v>2</v>
      </c>
      <c r="H3">
        <v>0</v>
      </c>
      <c r="I3">
        <v>0</v>
      </c>
      <c r="J3">
        <v>0</v>
      </c>
      <c r="K3">
        <v>157</v>
      </c>
      <c r="L3">
        <v>1</v>
      </c>
      <c r="M3">
        <v>1</v>
      </c>
      <c r="N3" t="s">
        <v>7</v>
      </c>
    </row>
    <row r="4" spans="1:14" x14ac:dyDescent="0.25">
      <c r="A4" t="s">
        <v>4</v>
      </c>
      <c r="B4">
        <v>6</v>
      </c>
      <c r="C4">
        <v>221</v>
      </c>
      <c r="D4">
        <v>96</v>
      </c>
      <c r="E4">
        <v>1</v>
      </c>
      <c r="F4">
        <v>37</v>
      </c>
      <c r="G4">
        <v>5</v>
      </c>
      <c r="H4">
        <v>0</v>
      </c>
      <c r="I4">
        <v>0</v>
      </c>
      <c r="J4">
        <v>0</v>
      </c>
      <c r="K4">
        <v>307</v>
      </c>
      <c r="L4">
        <v>1</v>
      </c>
      <c r="M4">
        <v>1</v>
      </c>
      <c r="N4" t="s">
        <v>5</v>
      </c>
    </row>
    <row r="5" spans="1:14" x14ac:dyDescent="0.25">
      <c r="A5" t="s">
        <v>5</v>
      </c>
      <c r="B5">
        <v>5</v>
      </c>
      <c r="C5">
        <v>210</v>
      </c>
      <c r="D5">
        <v>85</v>
      </c>
      <c r="E5">
        <v>1</v>
      </c>
      <c r="F5">
        <v>25</v>
      </c>
      <c r="G5">
        <v>3</v>
      </c>
      <c r="H5">
        <v>0</v>
      </c>
      <c r="I5">
        <v>0</v>
      </c>
      <c r="J5">
        <v>0</v>
      </c>
      <c r="K5">
        <v>185</v>
      </c>
      <c r="L5">
        <v>1</v>
      </c>
      <c r="M5">
        <v>0</v>
      </c>
      <c r="N5" t="s">
        <v>4</v>
      </c>
    </row>
    <row r="6" spans="1:14" x14ac:dyDescent="0.25">
      <c r="A6" t="s">
        <v>7</v>
      </c>
      <c r="B6">
        <v>6</v>
      </c>
      <c r="C6">
        <v>203</v>
      </c>
      <c r="D6">
        <v>78</v>
      </c>
      <c r="E6">
        <v>5</v>
      </c>
      <c r="F6">
        <v>36</v>
      </c>
      <c r="G6">
        <v>2</v>
      </c>
      <c r="H6">
        <v>0</v>
      </c>
      <c r="I6">
        <v>0</v>
      </c>
      <c r="J6">
        <v>0</v>
      </c>
      <c r="K6">
        <v>299</v>
      </c>
      <c r="L6">
        <v>1</v>
      </c>
      <c r="M6">
        <v>0</v>
      </c>
      <c r="N6" t="s">
        <v>2</v>
      </c>
    </row>
    <row r="7" spans="1:14" x14ac:dyDescent="0.25">
      <c r="A7" t="s">
        <v>0</v>
      </c>
      <c r="B7">
        <v>6</v>
      </c>
      <c r="C7">
        <v>183</v>
      </c>
      <c r="D7">
        <v>70</v>
      </c>
      <c r="E7">
        <v>3</v>
      </c>
      <c r="F7">
        <v>31</v>
      </c>
      <c r="G7">
        <v>1</v>
      </c>
      <c r="H7">
        <v>0</v>
      </c>
      <c r="I7">
        <v>0</v>
      </c>
      <c r="J7">
        <v>0</v>
      </c>
      <c r="K7">
        <v>297</v>
      </c>
      <c r="L7">
        <v>1</v>
      </c>
      <c r="M7">
        <v>1</v>
      </c>
      <c r="N7" t="s">
        <v>6</v>
      </c>
    </row>
    <row r="8" spans="1:14" x14ac:dyDescent="0.25">
      <c r="A8" t="s">
        <v>6</v>
      </c>
      <c r="B8">
        <v>6</v>
      </c>
      <c r="C8">
        <v>182</v>
      </c>
      <c r="D8">
        <v>73</v>
      </c>
      <c r="E8">
        <v>1</v>
      </c>
      <c r="F8">
        <v>31</v>
      </c>
      <c r="G8">
        <v>1</v>
      </c>
      <c r="H8">
        <v>0</v>
      </c>
      <c r="I8">
        <v>0</v>
      </c>
      <c r="J8">
        <v>0</v>
      </c>
      <c r="K8">
        <v>307</v>
      </c>
      <c r="L8">
        <v>1</v>
      </c>
      <c r="M8">
        <v>0</v>
      </c>
      <c r="N8" t="s">
        <v>0</v>
      </c>
    </row>
    <row r="9" spans="1:14" x14ac:dyDescent="0.25">
      <c r="A9" t="s">
        <v>3</v>
      </c>
      <c r="B9">
        <v>6</v>
      </c>
      <c r="C9">
        <v>166</v>
      </c>
      <c r="D9">
        <v>56</v>
      </c>
      <c r="E9">
        <v>0</v>
      </c>
      <c r="F9">
        <v>28</v>
      </c>
      <c r="G9">
        <v>2</v>
      </c>
      <c r="H9">
        <v>0</v>
      </c>
      <c r="I9">
        <v>0</v>
      </c>
      <c r="J9">
        <v>0</v>
      </c>
      <c r="K9">
        <v>389</v>
      </c>
      <c r="L9">
        <v>1</v>
      </c>
      <c r="M9">
        <v>0</v>
      </c>
      <c r="N9" t="s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CEB06-E7EC-44D7-ADB3-FF90289BB3DA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7</v>
      </c>
      <c r="B2">
        <v>6</v>
      </c>
      <c r="C2">
        <v>260</v>
      </c>
      <c r="D2">
        <v>88</v>
      </c>
      <c r="E2">
        <v>5</v>
      </c>
      <c r="F2">
        <v>72</v>
      </c>
      <c r="G2">
        <v>7</v>
      </c>
      <c r="H2">
        <v>0</v>
      </c>
      <c r="I2">
        <v>0</v>
      </c>
      <c r="J2">
        <v>0</v>
      </c>
      <c r="K2">
        <v>128</v>
      </c>
      <c r="L2">
        <v>1</v>
      </c>
      <c r="M2">
        <v>1</v>
      </c>
      <c r="N2" t="s">
        <v>3</v>
      </c>
    </row>
    <row r="3" spans="1:14" x14ac:dyDescent="0.25">
      <c r="A3" t="s">
        <v>3</v>
      </c>
      <c r="B3">
        <v>6</v>
      </c>
      <c r="C3">
        <v>272</v>
      </c>
      <c r="D3">
        <v>81</v>
      </c>
      <c r="E3">
        <v>4</v>
      </c>
      <c r="F3">
        <v>72</v>
      </c>
      <c r="G3">
        <v>3</v>
      </c>
      <c r="H3">
        <v>0</v>
      </c>
      <c r="I3">
        <v>0</v>
      </c>
      <c r="J3">
        <v>0</v>
      </c>
      <c r="K3">
        <v>116</v>
      </c>
      <c r="L3">
        <v>1</v>
      </c>
      <c r="M3">
        <v>0</v>
      </c>
      <c r="N3" t="s">
        <v>7</v>
      </c>
    </row>
    <row r="4" spans="1:14" x14ac:dyDescent="0.25">
      <c r="A4" t="s">
        <v>5</v>
      </c>
      <c r="B4">
        <v>6</v>
      </c>
      <c r="C4">
        <v>262</v>
      </c>
      <c r="D4">
        <v>86</v>
      </c>
      <c r="E4">
        <v>1</v>
      </c>
      <c r="F4">
        <v>75</v>
      </c>
      <c r="G4">
        <v>8</v>
      </c>
      <c r="H4">
        <v>0</v>
      </c>
      <c r="I4">
        <v>0</v>
      </c>
      <c r="J4">
        <v>0</v>
      </c>
      <c r="K4">
        <v>146</v>
      </c>
      <c r="L4">
        <v>1</v>
      </c>
      <c r="M4">
        <v>1</v>
      </c>
      <c r="N4" t="s">
        <v>0</v>
      </c>
    </row>
    <row r="5" spans="1:14" x14ac:dyDescent="0.25">
      <c r="A5" t="s">
        <v>6</v>
      </c>
      <c r="B5">
        <v>6</v>
      </c>
      <c r="C5">
        <v>267</v>
      </c>
      <c r="D5">
        <v>83</v>
      </c>
      <c r="E5">
        <v>1</v>
      </c>
      <c r="F5">
        <v>70</v>
      </c>
      <c r="G5">
        <v>11</v>
      </c>
      <c r="H5">
        <v>0</v>
      </c>
      <c r="I5">
        <v>0</v>
      </c>
      <c r="J5">
        <v>0</v>
      </c>
      <c r="K5">
        <v>159</v>
      </c>
      <c r="L5">
        <v>1</v>
      </c>
      <c r="M5">
        <v>1</v>
      </c>
      <c r="N5" t="s">
        <v>1</v>
      </c>
    </row>
    <row r="6" spans="1:14" x14ac:dyDescent="0.25">
      <c r="A6" t="s">
        <v>2</v>
      </c>
      <c r="B6">
        <v>6</v>
      </c>
      <c r="C6">
        <v>236</v>
      </c>
      <c r="D6">
        <v>91</v>
      </c>
      <c r="E6">
        <v>0</v>
      </c>
      <c r="F6">
        <v>89</v>
      </c>
      <c r="G6">
        <v>15</v>
      </c>
      <c r="H6">
        <v>0</v>
      </c>
      <c r="I6">
        <v>0</v>
      </c>
      <c r="J6">
        <v>1</v>
      </c>
      <c r="K6">
        <v>240</v>
      </c>
      <c r="L6">
        <v>1</v>
      </c>
      <c r="M6">
        <v>1</v>
      </c>
      <c r="N6" t="s">
        <v>4</v>
      </c>
    </row>
    <row r="7" spans="1:14" x14ac:dyDescent="0.25">
      <c r="A7" t="s">
        <v>4</v>
      </c>
      <c r="B7">
        <v>6</v>
      </c>
      <c r="C7">
        <v>255</v>
      </c>
      <c r="D7">
        <v>77</v>
      </c>
      <c r="E7">
        <v>2</v>
      </c>
      <c r="F7">
        <v>81</v>
      </c>
      <c r="G7">
        <v>17</v>
      </c>
      <c r="H7">
        <v>0</v>
      </c>
      <c r="I7">
        <v>0</v>
      </c>
      <c r="J7">
        <v>0</v>
      </c>
      <c r="K7">
        <v>256</v>
      </c>
      <c r="L7">
        <v>1</v>
      </c>
      <c r="M7">
        <v>0</v>
      </c>
      <c r="N7" t="s">
        <v>2</v>
      </c>
    </row>
    <row r="8" spans="1:14" x14ac:dyDescent="0.25">
      <c r="A8" t="s">
        <v>0</v>
      </c>
      <c r="B8">
        <v>6</v>
      </c>
      <c r="C8">
        <v>259</v>
      </c>
      <c r="D8">
        <v>69</v>
      </c>
      <c r="E8">
        <v>3</v>
      </c>
      <c r="F8">
        <v>91</v>
      </c>
      <c r="G8">
        <v>8</v>
      </c>
      <c r="H8">
        <v>0</v>
      </c>
      <c r="I8">
        <v>0</v>
      </c>
      <c r="J8">
        <v>2</v>
      </c>
      <c r="K8">
        <v>269</v>
      </c>
      <c r="L8">
        <v>1</v>
      </c>
      <c r="M8">
        <v>0</v>
      </c>
      <c r="N8" t="s">
        <v>5</v>
      </c>
    </row>
    <row r="9" spans="1:14" x14ac:dyDescent="0.25">
      <c r="A9" t="s">
        <v>1</v>
      </c>
      <c r="B9">
        <v>5</v>
      </c>
      <c r="C9">
        <v>217</v>
      </c>
      <c r="D9">
        <v>70</v>
      </c>
      <c r="E9">
        <v>1</v>
      </c>
      <c r="F9">
        <v>66</v>
      </c>
      <c r="G9">
        <v>6</v>
      </c>
      <c r="H9">
        <v>0</v>
      </c>
      <c r="I9">
        <v>0</v>
      </c>
      <c r="J9">
        <v>0</v>
      </c>
      <c r="K9">
        <v>126</v>
      </c>
      <c r="L9">
        <v>1</v>
      </c>
      <c r="M9">
        <v>0</v>
      </c>
      <c r="N9" t="s">
        <v>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BBDD0-AF2D-4A85-94F3-EEA8950056E3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3</v>
      </c>
      <c r="B2">
        <v>6</v>
      </c>
      <c r="C2">
        <v>246</v>
      </c>
      <c r="D2">
        <v>101</v>
      </c>
      <c r="E2">
        <v>1</v>
      </c>
      <c r="F2">
        <v>43</v>
      </c>
      <c r="G2">
        <v>5</v>
      </c>
      <c r="H2">
        <v>0</v>
      </c>
      <c r="I2">
        <v>0</v>
      </c>
      <c r="J2">
        <v>0</v>
      </c>
      <c r="K2">
        <v>209</v>
      </c>
      <c r="L2">
        <v>1</v>
      </c>
      <c r="M2">
        <v>1</v>
      </c>
      <c r="N2" t="s">
        <v>4</v>
      </c>
    </row>
    <row r="3" spans="1:14" x14ac:dyDescent="0.25">
      <c r="A3" t="s">
        <v>4</v>
      </c>
      <c r="B3">
        <v>6</v>
      </c>
      <c r="C3">
        <v>254</v>
      </c>
      <c r="D3">
        <v>94</v>
      </c>
      <c r="E3">
        <v>4</v>
      </c>
      <c r="F3">
        <v>40</v>
      </c>
      <c r="G3">
        <v>4</v>
      </c>
      <c r="H3">
        <v>0</v>
      </c>
      <c r="I3">
        <v>0</v>
      </c>
      <c r="J3">
        <v>0</v>
      </c>
      <c r="K3">
        <v>213</v>
      </c>
      <c r="L3">
        <v>1</v>
      </c>
      <c r="M3">
        <v>0</v>
      </c>
      <c r="N3" t="s">
        <v>387</v>
      </c>
    </row>
    <row r="4" spans="1:14" x14ac:dyDescent="0.25">
      <c r="A4" t="s">
        <v>1</v>
      </c>
      <c r="B4">
        <v>6</v>
      </c>
      <c r="C4">
        <v>252</v>
      </c>
      <c r="D4">
        <v>89</v>
      </c>
      <c r="E4">
        <v>3</v>
      </c>
      <c r="F4">
        <v>47</v>
      </c>
      <c r="G4">
        <v>5</v>
      </c>
      <c r="H4">
        <v>0</v>
      </c>
      <c r="I4">
        <v>0</v>
      </c>
      <c r="J4">
        <v>0</v>
      </c>
      <c r="K4">
        <v>257</v>
      </c>
      <c r="L4">
        <v>1</v>
      </c>
      <c r="M4">
        <v>1</v>
      </c>
      <c r="N4" t="s">
        <v>0</v>
      </c>
    </row>
    <row r="5" spans="1:14" x14ac:dyDescent="0.25">
      <c r="A5" t="s">
        <v>0</v>
      </c>
      <c r="B5">
        <v>6</v>
      </c>
      <c r="C5">
        <v>219</v>
      </c>
      <c r="D5">
        <v>90</v>
      </c>
      <c r="E5">
        <v>2</v>
      </c>
      <c r="F5">
        <v>44</v>
      </c>
      <c r="G5">
        <v>5</v>
      </c>
      <c r="H5">
        <v>0</v>
      </c>
      <c r="I5">
        <v>0</v>
      </c>
      <c r="J5">
        <v>0</v>
      </c>
      <c r="K5">
        <v>245</v>
      </c>
      <c r="L5">
        <v>1</v>
      </c>
      <c r="M5">
        <v>0</v>
      </c>
      <c r="N5" t="s">
        <v>1</v>
      </c>
    </row>
    <row r="6" spans="1:14" x14ac:dyDescent="0.25">
      <c r="A6" t="s">
        <v>5</v>
      </c>
      <c r="B6">
        <v>6</v>
      </c>
      <c r="C6">
        <v>217</v>
      </c>
      <c r="D6">
        <v>79</v>
      </c>
      <c r="E6">
        <v>2</v>
      </c>
      <c r="F6">
        <v>57</v>
      </c>
      <c r="G6">
        <v>5</v>
      </c>
      <c r="H6">
        <v>0</v>
      </c>
      <c r="I6">
        <v>0</v>
      </c>
      <c r="J6">
        <v>0</v>
      </c>
      <c r="K6">
        <v>340</v>
      </c>
      <c r="L6">
        <v>1</v>
      </c>
      <c r="M6">
        <v>1</v>
      </c>
      <c r="N6" t="s">
        <v>2</v>
      </c>
    </row>
    <row r="7" spans="1:14" x14ac:dyDescent="0.25">
      <c r="A7" t="s">
        <v>7</v>
      </c>
      <c r="B7">
        <v>6</v>
      </c>
      <c r="C7">
        <v>203</v>
      </c>
      <c r="D7">
        <v>72</v>
      </c>
      <c r="E7">
        <v>1</v>
      </c>
      <c r="F7">
        <v>41</v>
      </c>
      <c r="G7">
        <v>7</v>
      </c>
      <c r="H7">
        <v>0</v>
      </c>
      <c r="I7">
        <v>0</v>
      </c>
      <c r="J7">
        <v>0</v>
      </c>
      <c r="K7">
        <v>307</v>
      </c>
      <c r="L7">
        <v>1</v>
      </c>
      <c r="M7">
        <v>1</v>
      </c>
      <c r="N7" t="s">
        <v>6</v>
      </c>
    </row>
    <row r="8" spans="1:14" x14ac:dyDescent="0.25">
      <c r="A8" t="s">
        <v>6</v>
      </c>
      <c r="B8">
        <v>6</v>
      </c>
      <c r="C8">
        <v>178</v>
      </c>
      <c r="D8">
        <v>61</v>
      </c>
      <c r="E8">
        <v>1</v>
      </c>
      <c r="F8">
        <v>42</v>
      </c>
      <c r="G8">
        <v>5</v>
      </c>
      <c r="H8">
        <v>0</v>
      </c>
      <c r="I8">
        <v>0</v>
      </c>
      <c r="J8">
        <v>1</v>
      </c>
      <c r="K8">
        <v>383</v>
      </c>
      <c r="L8">
        <v>1</v>
      </c>
      <c r="M8">
        <v>0</v>
      </c>
      <c r="N8" t="s">
        <v>7</v>
      </c>
    </row>
    <row r="9" spans="1:14" x14ac:dyDescent="0.25">
      <c r="A9" t="s">
        <v>2</v>
      </c>
      <c r="B9">
        <v>5</v>
      </c>
      <c r="C9">
        <v>166</v>
      </c>
      <c r="D9">
        <v>62</v>
      </c>
      <c r="E9">
        <v>1</v>
      </c>
      <c r="F9">
        <v>51</v>
      </c>
      <c r="G9">
        <v>7</v>
      </c>
      <c r="H9">
        <v>0</v>
      </c>
      <c r="I9">
        <v>0</v>
      </c>
      <c r="J9">
        <v>1</v>
      </c>
      <c r="K9">
        <v>298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season_level</vt:lpstr>
      <vt:lpstr>player_level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Jackson</dc:creator>
  <cp:lastModifiedBy>Mike Jackson</cp:lastModifiedBy>
  <dcterms:created xsi:type="dcterms:W3CDTF">2024-02-28T15:53:33Z</dcterms:created>
  <dcterms:modified xsi:type="dcterms:W3CDTF">2024-05-20T04:16:11Z</dcterms:modified>
</cp:coreProperties>
</file>