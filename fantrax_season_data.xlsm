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A6D4CE85-9E93-4547-90F8-F726D0467EBA}" xr6:coauthVersionLast="47" xr6:coauthVersionMax="47" xr10:uidLastSave="{00000000-0000-0000-0000-000000000000}"/>
  <bookViews>
    <workbookView xWindow="-28920" yWindow="-15" windowWidth="29040" windowHeight="15720" tabRatio="745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  <sheet name="19" sheetId="22" r:id="rId21"/>
    <sheet name="20" sheetId="23" r:id="rId22"/>
    <sheet name="21" sheetId="24" r:id="rId23"/>
    <sheet name="22" sheetId="25" r:id="rId24"/>
    <sheet name="23" sheetId="26" r:id="rId25"/>
    <sheet name="24" sheetId="27" r:id="rId26"/>
    <sheet name="25" sheetId="28" r:id="rId27"/>
  </sheets>
  <definedNames>
    <definedName name="_xlnm._FilterDatabase" localSheetId="1" hidden="1">player_level!$A$1:$Z$173</definedName>
    <definedName name="_xlnm._FilterDatabase" localSheetId="0" hidden="1">season_level!$A$1:$AO$193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94" i="9" l="1"/>
  <c r="Y194" i="9"/>
  <c r="Z194" i="9"/>
  <c r="AA194" i="9"/>
  <c r="AB194" i="9"/>
  <c r="AC194" i="9"/>
  <c r="AD194" i="9"/>
  <c r="AM194" i="9" s="1"/>
  <c r="AE194" i="9"/>
  <c r="AF194" i="9"/>
  <c r="AG194" i="9"/>
  <c r="AH194" i="9"/>
  <c r="AI194" i="9"/>
  <c r="AJ194" i="9"/>
  <c r="AK194" i="9"/>
  <c r="AL194" i="9"/>
  <c r="AN194" i="9"/>
  <c r="X195" i="9"/>
  <c r="Y195" i="9"/>
  <c r="Z195" i="9"/>
  <c r="AL195" i="9" s="1"/>
  <c r="AA195" i="9"/>
  <c r="AB195" i="9"/>
  <c r="AC195" i="9"/>
  <c r="AD195" i="9"/>
  <c r="AE195" i="9"/>
  <c r="AF195" i="9"/>
  <c r="AG195" i="9"/>
  <c r="AH195" i="9"/>
  <c r="AM195" i="9" s="1"/>
  <c r="AI195" i="9"/>
  <c r="AJ195" i="9"/>
  <c r="AK195" i="9"/>
  <c r="AN195" i="9"/>
  <c r="X196" i="9"/>
  <c r="AL196" i="9" s="1"/>
  <c r="Y196" i="9"/>
  <c r="Z196" i="9"/>
  <c r="AA196" i="9"/>
  <c r="AB196" i="9"/>
  <c r="AC196" i="9"/>
  <c r="AD196" i="9"/>
  <c r="AE196" i="9"/>
  <c r="AF196" i="9"/>
  <c r="AM196" i="9" s="1"/>
  <c r="AG196" i="9"/>
  <c r="AH196" i="9"/>
  <c r="AI196" i="9"/>
  <c r="AJ196" i="9"/>
  <c r="AK196" i="9"/>
  <c r="AN196" i="9"/>
  <c r="X197" i="9"/>
  <c r="AL197" i="9" s="1"/>
  <c r="Y197" i="9"/>
  <c r="Z197" i="9"/>
  <c r="AA197" i="9"/>
  <c r="AB197" i="9"/>
  <c r="AC197" i="9"/>
  <c r="AD197" i="9"/>
  <c r="AE197" i="9"/>
  <c r="AF197" i="9"/>
  <c r="AG197" i="9"/>
  <c r="AH197" i="9"/>
  <c r="AI197" i="9"/>
  <c r="AJ197" i="9"/>
  <c r="AK197" i="9"/>
  <c r="AN197" i="9"/>
  <c r="X198" i="9"/>
  <c r="Y198" i="9"/>
  <c r="AL198" i="9" s="1"/>
  <c r="Z198" i="9"/>
  <c r="AA198" i="9"/>
  <c r="AB198" i="9"/>
  <c r="AC198" i="9"/>
  <c r="AD198" i="9"/>
  <c r="AE198" i="9"/>
  <c r="AF198" i="9"/>
  <c r="AG198" i="9"/>
  <c r="AH198" i="9"/>
  <c r="AI198" i="9"/>
  <c r="AJ198" i="9"/>
  <c r="AK198" i="9"/>
  <c r="AN198" i="9"/>
  <c r="X199" i="9"/>
  <c r="Y199" i="9"/>
  <c r="Z199" i="9"/>
  <c r="AA199" i="9"/>
  <c r="AB199" i="9"/>
  <c r="AC199" i="9"/>
  <c r="AD199" i="9"/>
  <c r="AE199" i="9"/>
  <c r="AF199" i="9"/>
  <c r="AG199" i="9"/>
  <c r="AH199" i="9"/>
  <c r="AI199" i="9"/>
  <c r="AJ199" i="9"/>
  <c r="AK199" i="9"/>
  <c r="AL199" i="9"/>
  <c r="AM199" i="9"/>
  <c r="AO199" i="9" s="1"/>
  <c r="AN199" i="9"/>
  <c r="X200" i="9"/>
  <c r="AL200" i="9" s="1"/>
  <c r="Y200" i="9"/>
  <c r="Z200" i="9"/>
  <c r="AA200" i="9"/>
  <c r="AB200" i="9"/>
  <c r="AC200" i="9"/>
  <c r="AD200" i="9"/>
  <c r="AE200" i="9"/>
  <c r="AF200" i="9"/>
  <c r="AM200" i="9" s="1"/>
  <c r="AG200" i="9"/>
  <c r="AH200" i="9"/>
  <c r="AI200" i="9"/>
  <c r="AJ200" i="9"/>
  <c r="AK200" i="9"/>
  <c r="AN200" i="9"/>
  <c r="X201" i="9"/>
  <c r="AL201" i="9" s="1"/>
  <c r="Y201" i="9"/>
  <c r="Z201" i="9"/>
  <c r="AA201" i="9"/>
  <c r="AB201" i="9"/>
  <c r="AC201" i="9"/>
  <c r="AD201" i="9"/>
  <c r="AE201" i="9"/>
  <c r="AF201" i="9"/>
  <c r="AM201" i="9" s="1"/>
  <c r="AG201" i="9"/>
  <c r="AH201" i="9"/>
  <c r="AI201" i="9"/>
  <c r="AJ201" i="9"/>
  <c r="AK201" i="9"/>
  <c r="AN201" i="9"/>
  <c r="X186" i="9"/>
  <c r="Y186" i="9"/>
  <c r="Z186" i="9"/>
  <c r="AA186" i="9"/>
  <c r="AB186" i="9"/>
  <c r="AL186" i="9" s="1"/>
  <c r="AC186" i="9"/>
  <c r="AD186" i="9"/>
  <c r="AE186" i="9"/>
  <c r="AF186" i="9"/>
  <c r="AG186" i="9"/>
  <c r="AH186" i="9"/>
  <c r="AI186" i="9"/>
  <c r="AJ186" i="9"/>
  <c r="AK186" i="9"/>
  <c r="AN186" i="9"/>
  <c r="X187" i="9"/>
  <c r="Y187" i="9"/>
  <c r="Z187" i="9"/>
  <c r="AA187" i="9"/>
  <c r="AB187" i="9"/>
  <c r="AC187" i="9"/>
  <c r="AD187" i="9"/>
  <c r="AE187" i="9"/>
  <c r="AF187" i="9"/>
  <c r="AG187" i="9"/>
  <c r="AH187" i="9"/>
  <c r="AI187" i="9"/>
  <c r="AJ187" i="9"/>
  <c r="AK187" i="9"/>
  <c r="AN187" i="9"/>
  <c r="X188" i="9"/>
  <c r="Y188" i="9"/>
  <c r="Z188" i="9"/>
  <c r="AA188" i="9"/>
  <c r="AB188" i="9"/>
  <c r="AC188" i="9"/>
  <c r="AD188" i="9"/>
  <c r="AE188" i="9"/>
  <c r="AF188" i="9"/>
  <c r="AG188" i="9"/>
  <c r="AH188" i="9"/>
  <c r="AI188" i="9"/>
  <c r="AJ188" i="9"/>
  <c r="AK188" i="9"/>
  <c r="AN188" i="9"/>
  <c r="X189" i="9"/>
  <c r="Y189" i="9"/>
  <c r="Z189" i="9"/>
  <c r="AA189" i="9"/>
  <c r="AB189" i="9"/>
  <c r="AC189" i="9"/>
  <c r="AD189" i="9"/>
  <c r="AE189" i="9"/>
  <c r="AF189" i="9"/>
  <c r="AG189" i="9"/>
  <c r="AH189" i="9"/>
  <c r="AI189" i="9"/>
  <c r="AJ189" i="9"/>
  <c r="AK189" i="9"/>
  <c r="AN189" i="9"/>
  <c r="X190" i="9"/>
  <c r="Y190" i="9"/>
  <c r="Z190" i="9"/>
  <c r="AA190" i="9"/>
  <c r="AB190" i="9"/>
  <c r="AC190" i="9"/>
  <c r="AD190" i="9"/>
  <c r="AE190" i="9"/>
  <c r="AF190" i="9"/>
  <c r="AG190" i="9"/>
  <c r="AH190" i="9"/>
  <c r="AI190" i="9"/>
  <c r="AJ190" i="9"/>
  <c r="AK190" i="9"/>
  <c r="AN190" i="9"/>
  <c r="X191" i="9"/>
  <c r="Y191" i="9"/>
  <c r="Z191" i="9"/>
  <c r="AA191" i="9"/>
  <c r="AB191" i="9"/>
  <c r="AC191" i="9"/>
  <c r="AD191" i="9"/>
  <c r="AE191" i="9"/>
  <c r="AF191" i="9"/>
  <c r="AG191" i="9"/>
  <c r="AH191" i="9"/>
  <c r="AI191" i="9"/>
  <c r="AJ191" i="9"/>
  <c r="AK191" i="9"/>
  <c r="AN191" i="9"/>
  <c r="X192" i="9"/>
  <c r="Y192" i="9"/>
  <c r="Z192" i="9"/>
  <c r="AA192" i="9"/>
  <c r="AB192" i="9"/>
  <c r="AC192" i="9"/>
  <c r="AD192" i="9"/>
  <c r="AE192" i="9"/>
  <c r="AF192" i="9"/>
  <c r="AG192" i="9"/>
  <c r="AH192" i="9"/>
  <c r="AI192" i="9"/>
  <c r="AJ192" i="9"/>
  <c r="AK192" i="9"/>
  <c r="AN192" i="9"/>
  <c r="X193" i="9"/>
  <c r="Y193" i="9"/>
  <c r="Z193" i="9"/>
  <c r="AA193" i="9"/>
  <c r="AB193" i="9"/>
  <c r="AC193" i="9"/>
  <c r="AD193" i="9"/>
  <c r="AE193" i="9"/>
  <c r="AF193" i="9"/>
  <c r="AG193" i="9"/>
  <c r="AH193" i="9"/>
  <c r="AI193" i="9"/>
  <c r="AJ193" i="9"/>
  <c r="AK193" i="9"/>
  <c r="AN193" i="9"/>
  <c r="X178" i="9"/>
  <c r="Y178" i="9"/>
  <c r="Z178" i="9"/>
  <c r="AA178" i="9"/>
  <c r="AB178" i="9"/>
  <c r="AC178" i="9"/>
  <c r="AD178" i="9"/>
  <c r="AE178" i="9"/>
  <c r="AF178" i="9"/>
  <c r="AG178" i="9"/>
  <c r="AH178" i="9"/>
  <c r="AI178" i="9"/>
  <c r="AJ178" i="9"/>
  <c r="AK178" i="9"/>
  <c r="AN178" i="9"/>
  <c r="X179" i="9"/>
  <c r="Y179" i="9"/>
  <c r="Z179" i="9"/>
  <c r="AA179" i="9"/>
  <c r="AB179" i="9"/>
  <c r="AC179" i="9"/>
  <c r="AD179" i="9"/>
  <c r="AE179" i="9"/>
  <c r="AF179" i="9"/>
  <c r="AG179" i="9"/>
  <c r="AH179" i="9"/>
  <c r="AI179" i="9"/>
  <c r="AJ179" i="9"/>
  <c r="AK179" i="9"/>
  <c r="AN179" i="9"/>
  <c r="X180" i="9"/>
  <c r="Y180" i="9"/>
  <c r="Z180" i="9"/>
  <c r="AA180" i="9"/>
  <c r="AB180" i="9"/>
  <c r="AC180" i="9"/>
  <c r="AD180" i="9"/>
  <c r="AE180" i="9"/>
  <c r="AF180" i="9"/>
  <c r="AG180" i="9"/>
  <c r="AH180" i="9"/>
  <c r="AI180" i="9"/>
  <c r="AJ180" i="9"/>
  <c r="AK180" i="9"/>
  <c r="AN180" i="9"/>
  <c r="X181" i="9"/>
  <c r="Y181" i="9"/>
  <c r="Z181" i="9"/>
  <c r="AA181" i="9"/>
  <c r="AB181" i="9"/>
  <c r="AC181" i="9"/>
  <c r="AD181" i="9"/>
  <c r="AE181" i="9"/>
  <c r="AF181" i="9"/>
  <c r="AG181" i="9"/>
  <c r="AH181" i="9"/>
  <c r="AI181" i="9"/>
  <c r="AJ181" i="9"/>
  <c r="AK181" i="9"/>
  <c r="AN181" i="9"/>
  <c r="X182" i="9"/>
  <c r="Y182" i="9"/>
  <c r="Z182" i="9"/>
  <c r="AA182" i="9"/>
  <c r="AB182" i="9"/>
  <c r="AC182" i="9"/>
  <c r="AD182" i="9"/>
  <c r="AE182" i="9"/>
  <c r="AF182" i="9"/>
  <c r="AG182" i="9"/>
  <c r="AH182" i="9"/>
  <c r="AI182" i="9"/>
  <c r="AJ182" i="9"/>
  <c r="AK182" i="9"/>
  <c r="AN182" i="9"/>
  <c r="X183" i="9"/>
  <c r="Y183" i="9"/>
  <c r="Z183" i="9"/>
  <c r="AA183" i="9"/>
  <c r="AB183" i="9"/>
  <c r="AC183" i="9"/>
  <c r="AD183" i="9"/>
  <c r="AE183" i="9"/>
  <c r="AF183" i="9"/>
  <c r="AG183" i="9"/>
  <c r="AH183" i="9"/>
  <c r="AI183" i="9"/>
  <c r="AJ183" i="9"/>
  <c r="AK183" i="9"/>
  <c r="AN183" i="9"/>
  <c r="X184" i="9"/>
  <c r="Y184" i="9"/>
  <c r="Z184" i="9"/>
  <c r="AA184" i="9"/>
  <c r="AB184" i="9"/>
  <c r="AC184" i="9"/>
  <c r="AD184" i="9"/>
  <c r="AE184" i="9"/>
  <c r="AF184" i="9"/>
  <c r="AG184" i="9"/>
  <c r="AH184" i="9"/>
  <c r="AI184" i="9"/>
  <c r="AJ184" i="9"/>
  <c r="AK184" i="9"/>
  <c r="AN184" i="9"/>
  <c r="X185" i="9"/>
  <c r="Y185" i="9"/>
  <c r="Z185" i="9"/>
  <c r="AA185" i="9"/>
  <c r="AB185" i="9"/>
  <c r="AC185" i="9"/>
  <c r="AD185" i="9"/>
  <c r="AE185" i="9"/>
  <c r="AF185" i="9"/>
  <c r="AG185" i="9"/>
  <c r="AH185" i="9"/>
  <c r="AI185" i="9"/>
  <c r="AJ185" i="9"/>
  <c r="AK185" i="9"/>
  <c r="AN185" i="9"/>
  <c r="X169" i="9"/>
  <c r="Y169" i="9"/>
  <c r="Z169" i="9"/>
  <c r="AA169" i="9"/>
  <c r="AB169" i="9"/>
  <c r="AL169" i="9" s="1"/>
  <c r="AC169" i="9"/>
  <c r="AD169" i="9"/>
  <c r="AE169" i="9"/>
  <c r="AF169" i="9"/>
  <c r="AG169" i="9"/>
  <c r="AH169" i="9"/>
  <c r="AI169" i="9"/>
  <c r="AJ169" i="9"/>
  <c r="AK169" i="9"/>
  <c r="AN169" i="9"/>
  <c r="X170" i="9"/>
  <c r="Y170" i="9"/>
  <c r="Z170" i="9"/>
  <c r="AA170" i="9"/>
  <c r="AB170" i="9"/>
  <c r="AC170" i="9"/>
  <c r="AD170" i="9"/>
  <c r="AE170" i="9"/>
  <c r="AF170" i="9"/>
  <c r="AG170" i="9"/>
  <c r="AH170" i="9"/>
  <c r="AI170" i="9"/>
  <c r="AJ170" i="9"/>
  <c r="AK170" i="9"/>
  <c r="AN170" i="9"/>
  <c r="X171" i="9"/>
  <c r="AL171" i="9" s="1"/>
  <c r="Y171" i="9"/>
  <c r="Z171" i="9"/>
  <c r="AA171" i="9"/>
  <c r="AB171" i="9"/>
  <c r="AC171" i="9"/>
  <c r="AD171" i="9"/>
  <c r="AE171" i="9"/>
  <c r="AF171" i="9"/>
  <c r="AG171" i="9"/>
  <c r="AH171" i="9"/>
  <c r="AI171" i="9"/>
  <c r="AJ171" i="9"/>
  <c r="AK171" i="9"/>
  <c r="AN171" i="9"/>
  <c r="X172" i="9"/>
  <c r="Y172" i="9"/>
  <c r="Z172" i="9"/>
  <c r="AA172" i="9"/>
  <c r="AB172" i="9"/>
  <c r="AC172" i="9"/>
  <c r="AD172" i="9"/>
  <c r="AE172" i="9"/>
  <c r="AF172" i="9"/>
  <c r="AG172" i="9"/>
  <c r="AH172" i="9"/>
  <c r="AI172" i="9"/>
  <c r="AJ172" i="9"/>
  <c r="AK172" i="9"/>
  <c r="AN172" i="9"/>
  <c r="X173" i="9"/>
  <c r="Y173" i="9"/>
  <c r="Z173" i="9"/>
  <c r="AA173" i="9"/>
  <c r="AB173" i="9"/>
  <c r="AC173" i="9"/>
  <c r="AD173" i="9"/>
  <c r="AE173" i="9"/>
  <c r="AF173" i="9"/>
  <c r="AG173" i="9"/>
  <c r="AH173" i="9"/>
  <c r="AI173" i="9"/>
  <c r="AJ173" i="9"/>
  <c r="AK173" i="9"/>
  <c r="AN173" i="9"/>
  <c r="X174" i="9"/>
  <c r="Y174" i="9"/>
  <c r="Z174" i="9"/>
  <c r="AA174" i="9"/>
  <c r="AB174" i="9"/>
  <c r="AC174" i="9"/>
  <c r="AD174" i="9"/>
  <c r="AE174" i="9"/>
  <c r="AF174" i="9"/>
  <c r="AG174" i="9"/>
  <c r="AH174" i="9"/>
  <c r="AI174" i="9"/>
  <c r="AJ174" i="9"/>
  <c r="AK174" i="9"/>
  <c r="AN174" i="9"/>
  <c r="X175" i="9"/>
  <c r="Y175" i="9"/>
  <c r="Z175" i="9"/>
  <c r="AA175" i="9"/>
  <c r="AB175" i="9"/>
  <c r="AC175" i="9"/>
  <c r="AD175" i="9"/>
  <c r="AE175" i="9"/>
  <c r="AF175" i="9"/>
  <c r="AG175" i="9"/>
  <c r="AH175" i="9"/>
  <c r="AI175" i="9"/>
  <c r="AJ175" i="9"/>
  <c r="AK175" i="9"/>
  <c r="AN175" i="9"/>
  <c r="X176" i="9"/>
  <c r="Y176" i="9"/>
  <c r="Z176" i="9"/>
  <c r="AA176" i="9"/>
  <c r="AB176" i="9"/>
  <c r="AC176" i="9"/>
  <c r="AD176" i="9"/>
  <c r="AE176" i="9"/>
  <c r="AF176" i="9"/>
  <c r="AG176" i="9"/>
  <c r="AH176" i="9"/>
  <c r="AI176" i="9"/>
  <c r="AJ176" i="9"/>
  <c r="AK176" i="9"/>
  <c r="AN176" i="9"/>
  <c r="X177" i="9"/>
  <c r="Y177" i="9"/>
  <c r="Z177" i="9"/>
  <c r="AA177" i="9"/>
  <c r="AB177" i="9"/>
  <c r="AC177" i="9"/>
  <c r="AD177" i="9"/>
  <c r="AE177" i="9"/>
  <c r="AF177" i="9"/>
  <c r="AG177" i="9"/>
  <c r="AH177" i="9"/>
  <c r="AI177" i="9"/>
  <c r="AJ177" i="9"/>
  <c r="AK177" i="9"/>
  <c r="AN177" i="9"/>
  <c r="X162" i="9"/>
  <c r="Y162" i="9"/>
  <c r="Z162" i="9"/>
  <c r="AA162" i="9"/>
  <c r="AB162" i="9"/>
  <c r="AC162" i="9"/>
  <c r="AD162" i="9"/>
  <c r="AE162" i="9"/>
  <c r="AF162" i="9"/>
  <c r="AG162" i="9"/>
  <c r="AH162" i="9"/>
  <c r="AI162" i="9"/>
  <c r="AJ162" i="9"/>
  <c r="AK162" i="9"/>
  <c r="AN162" i="9"/>
  <c r="X163" i="9"/>
  <c r="Y163" i="9"/>
  <c r="Z163" i="9"/>
  <c r="AA163" i="9"/>
  <c r="AB163" i="9"/>
  <c r="AC163" i="9"/>
  <c r="AD163" i="9"/>
  <c r="AE163" i="9"/>
  <c r="AF163" i="9"/>
  <c r="AG163" i="9"/>
  <c r="AH163" i="9"/>
  <c r="AI163" i="9"/>
  <c r="AJ163" i="9"/>
  <c r="AK163" i="9"/>
  <c r="AN163" i="9"/>
  <c r="X164" i="9"/>
  <c r="Y164" i="9"/>
  <c r="Z164" i="9"/>
  <c r="AA164" i="9"/>
  <c r="AB164" i="9"/>
  <c r="AC164" i="9"/>
  <c r="AD164" i="9"/>
  <c r="AE164" i="9"/>
  <c r="AF164" i="9"/>
  <c r="AG164" i="9"/>
  <c r="AH164" i="9"/>
  <c r="AI164" i="9"/>
  <c r="AJ164" i="9"/>
  <c r="AK164" i="9"/>
  <c r="AN164" i="9"/>
  <c r="X165" i="9"/>
  <c r="Y165" i="9"/>
  <c r="Z165" i="9"/>
  <c r="AA165" i="9"/>
  <c r="AB165" i="9"/>
  <c r="AC165" i="9"/>
  <c r="AD165" i="9"/>
  <c r="AE165" i="9"/>
  <c r="AF165" i="9"/>
  <c r="AG165" i="9"/>
  <c r="AH165" i="9"/>
  <c r="AI165" i="9"/>
  <c r="AJ165" i="9"/>
  <c r="AK165" i="9"/>
  <c r="AN165" i="9"/>
  <c r="X166" i="9"/>
  <c r="Y166" i="9"/>
  <c r="Z166" i="9"/>
  <c r="AA166" i="9"/>
  <c r="AB166" i="9"/>
  <c r="AC166" i="9"/>
  <c r="AD166" i="9"/>
  <c r="AE166" i="9"/>
  <c r="AF166" i="9"/>
  <c r="AG166" i="9"/>
  <c r="AH166" i="9"/>
  <c r="AI166" i="9"/>
  <c r="AJ166" i="9"/>
  <c r="AK166" i="9"/>
  <c r="AN166" i="9"/>
  <c r="X167" i="9"/>
  <c r="Y167" i="9"/>
  <c r="Z167" i="9"/>
  <c r="AA167" i="9"/>
  <c r="AB167" i="9"/>
  <c r="AC167" i="9"/>
  <c r="AD167" i="9"/>
  <c r="AE167" i="9"/>
  <c r="AF167" i="9"/>
  <c r="AG167" i="9"/>
  <c r="AH167" i="9"/>
  <c r="AI167" i="9"/>
  <c r="AJ167" i="9"/>
  <c r="AK167" i="9"/>
  <c r="AN167" i="9"/>
  <c r="X168" i="9"/>
  <c r="Y168" i="9"/>
  <c r="Z168" i="9"/>
  <c r="AA168" i="9"/>
  <c r="AB168" i="9"/>
  <c r="AC168" i="9"/>
  <c r="AD168" i="9"/>
  <c r="AE168" i="9"/>
  <c r="AF168" i="9"/>
  <c r="AG168" i="9"/>
  <c r="AH168" i="9"/>
  <c r="AI168" i="9"/>
  <c r="AJ168" i="9"/>
  <c r="AK168" i="9"/>
  <c r="AN168" i="9"/>
  <c r="X154" i="9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N154" i="9"/>
  <c r="X155" i="9"/>
  <c r="Y155" i="9"/>
  <c r="Z155" i="9"/>
  <c r="AA155" i="9"/>
  <c r="AB155" i="9"/>
  <c r="AC155" i="9"/>
  <c r="AD155" i="9"/>
  <c r="AE155" i="9"/>
  <c r="AF155" i="9"/>
  <c r="AG155" i="9"/>
  <c r="AH155" i="9"/>
  <c r="AI155" i="9"/>
  <c r="AJ155" i="9"/>
  <c r="AK155" i="9"/>
  <c r="AN155" i="9"/>
  <c r="X156" i="9"/>
  <c r="Y156" i="9"/>
  <c r="Z156" i="9"/>
  <c r="AA156" i="9"/>
  <c r="AB156" i="9"/>
  <c r="AC156" i="9"/>
  <c r="AD156" i="9"/>
  <c r="AE156" i="9"/>
  <c r="AF156" i="9"/>
  <c r="AG156" i="9"/>
  <c r="AH156" i="9"/>
  <c r="AI156" i="9"/>
  <c r="AJ156" i="9"/>
  <c r="AK156" i="9"/>
  <c r="AN156" i="9"/>
  <c r="X157" i="9"/>
  <c r="Y157" i="9"/>
  <c r="Z157" i="9"/>
  <c r="AA157" i="9"/>
  <c r="AB157" i="9"/>
  <c r="AC157" i="9"/>
  <c r="AD157" i="9"/>
  <c r="AE157" i="9"/>
  <c r="AF157" i="9"/>
  <c r="AG157" i="9"/>
  <c r="AH157" i="9"/>
  <c r="AI157" i="9"/>
  <c r="AJ157" i="9"/>
  <c r="AK157" i="9"/>
  <c r="AN157" i="9"/>
  <c r="X158" i="9"/>
  <c r="Y158" i="9"/>
  <c r="Z158" i="9"/>
  <c r="AA158" i="9"/>
  <c r="AB158" i="9"/>
  <c r="AC158" i="9"/>
  <c r="AD158" i="9"/>
  <c r="AE158" i="9"/>
  <c r="AF158" i="9"/>
  <c r="AG158" i="9"/>
  <c r="AH158" i="9"/>
  <c r="AI158" i="9"/>
  <c r="AJ158" i="9"/>
  <c r="AK158" i="9"/>
  <c r="AN158" i="9"/>
  <c r="X159" i="9"/>
  <c r="Y159" i="9"/>
  <c r="Z159" i="9"/>
  <c r="AA159" i="9"/>
  <c r="AB159" i="9"/>
  <c r="AC159" i="9"/>
  <c r="AD159" i="9"/>
  <c r="AE159" i="9"/>
  <c r="AF159" i="9"/>
  <c r="AG159" i="9"/>
  <c r="AH159" i="9"/>
  <c r="AI159" i="9"/>
  <c r="AJ159" i="9"/>
  <c r="AK159" i="9"/>
  <c r="AN159" i="9"/>
  <c r="X160" i="9"/>
  <c r="Y160" i="9"/>
  <c r="Z160" i="9"/>
  <c r="AA160" i="9"/>
  <c r="AB160" i="9"/>
  <c r="AC160" i="9"/>
  <c r="AD160" i="9"/>
  <c r="AE160" i="9"/>
  <c r="AF160" i="9"/>
  <c r="AG160" i="9"/>
  <c r="AH160" i="9"/>
  <c r="AI160" i="9"/>
  <c r="AJ160" i="9"/>
  <c r="AK160" i="9"/>
  <c r="AN160" i="9"/>
  <c r="X161" i="9"/>
  <c r="Y161" i="9"/>
  <c r="Z161" i="9"/>
  <c r="AA161" i="9"/>
  <c r="AB161" i="9"/>
  <c r="AC161" i="9"/>
  <c r="AD161" i="9"/>
  <c r="AE161" i="9"/>
  <c r="AF161" i="9"/>
  <c r="AG161" i="9"/>
  <c r="AH161" i="9"/>
  <c r="AI161" i="9"/>
  <c r="AJ161" i="9"/>
  <c r="AK161" i="9"/>
  <c r="AN161" i="9"/>
  <c r="X146" i="9"/>
  <c r="Y146" i="9"/>
  <c r="Z146" i="9"/>
  <c r="AA146" i="9"/>
  <c r="AB146" i="9"/>
  <c r="AC146" i="9"/>
  <c r="AD146" i="9"/>
  <c r="AE146" i="9"/>
  <c r="AF146" i="9"/>
  <c r="AG146" i="9"/>
  <c r="AH146" i="9"/>
  <c r="AI146" i="9"/>
  <c r="AJ146" i="9"/>
  <c r="AK146" i="9"/>
  <c r="AN146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N147" i="9"/>
  <c r="X148" i="9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N148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N149" i="9"/>
  <c r="X150" i="9"/>
  <c r="Y150" i="9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N150" i="9"/>
  <c r="X151" i="9"/>
  <c r="Y151" i="9"/>
  <c r="Z151" i="9"/>
  <c r="AA151" i="9"/>
  <c r="AB151" i="9"/>
  <c r="AC151" i="9"/>
  <c r="AD151" i="9"/>
  <c r="AE151" i="9"/>
  <c r="AF151" i="9"/>
  <c r="AG151" i="9"/>
  <c r="AH151" i="9"/>
  <c r="AI151" i="9"/>
  <c r="AJ151" i="9"/>
  <c r="AK151" i="9"/>
  <c r="AN151" i="9"/>
  <c r="X152" i="9"/>
  <c r="Y152" i="9"/>
  <c r="Z152" i="9"/>
  <c r="AA152" i="9"/>
  <c r="AB152" i="9"/>
  <c r="AC152" i="9"/>
  <c r="AD152" i="9"/>
  <c r="AE152" i="9"/>
  <c r="AF152" i="9"/>
  <c r="AG152" i="9"/>
  <c r="AH152" i="9"/>
  <c r="AI152" i="9"/>
  <c r="AJ152" i="9"/>
  <c r="AK152" i="9"/>
  <c r="AN152" i="9"/>
  <c r="X153" i="9"/>
  <c r="Y153" i="9"/>
  <c r="Z153" i="9"/>
  <c r="AA153" i="9"/>
  <c r="AB153" i="9"/>
  <c r="AC153" i="9"/>
  <c r="AD153" i="9"/>
  <c r="AE153" i="9"/>
  <c r="AF153" i="9"/>
  <c r="AG153" i="9"/>
  <c r="AH153" i="9"/>
  <c r="AI153" i="9"/>
  <c r="AJ153" i="9"/>
  <c r="AK153" i="9"/>
  <c r="AN153" i="9"/>
  <c r="X138" i="9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N138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N139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AL141" i="9" s="1"/>
  <c r="Y141" i="9"/>
  <c r="Z141" i="9"/>
  <c r="AA141" i="9"/>
  <c r="AB141" i="9"/>
  <c r="AC141" i="9"/>
  <c r="AD141" i="9"/>
  <c r="AE141" i="9"/>
  <c r="AF141" i="9"/>
  <c r="AG141" i="9"/>
  <c r="AH141" i="9"/>
  <c r="AI141" i="9"/>
  <c r="AJ141" i="9"/>
  <c r="AK141" i="9"/>
  <c r="AN141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N142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N144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N130" i="9"/>
  <c r="X131" i="9"/>
  <c r="Y131" i="9"/>
  <c r="Z131" i="9"/>
  <c r="AA131" i="9"/>
  <c r="AB131" i="9"/>
  <c r="AC131" i="9"/>
  <c r="AD131" i="9"/>
  <c r="AE131" i="9"/>
  <c r="AF131" i="9"/>
  <c r="AG131" i="9"/>
  <c r="AH131" i="9"/>
  <c r="AI131" i="9"/>
  <c r="AJ131" i="9"/>
  <c r="AK131" i="9"/>
  <c r="AN131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N132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N135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N136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N137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N122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N123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N125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N126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M197" i="9" l="1"/>
  <c r="W200" i="9"/>
  <c r="AO200" i="9"/>
  <c r="W194" i="9"/>
  <c r="AO194" i="9"/>
  <c r="W201" i="9"/>
  <c r="AO201" i="9"/>
  <c r="AM198" i="9"/>
  <c r="W195" i="9"/>
  <c r="AO195" i="9"/>
  <c r="AO196" i="9"/>
  <c r="W196" i="9"/>
  <c r="W199" i="9"/>
  <c r="AL182" i="9"/>
  <c r="AL190" i="9"/>
  <c r="AL144" i="9"/>
  <c r="AM144" i="9" s="1"/>
  <c r="AL166" i="9"/>
  <c r="AM166" i="9" s="1"/>
  <c r="AL179" i="9"/>
  <c r="AM179" i="9" s="1"/>
  <c r="W179" i="9" s="1"/>
  <c r="AL135" i="9"/>
  <c r="AM135" i="9" s="1"/>
  <c r="AL177" i="9"/>
  <c r="AL173" i="9"/>
  <c r="AL181" i="9"/>
  <c r="AM181" i="9" s="1"/>
  <c r="AL189" i="9"/>
  <c r="AL188" i="9"/>
  <c r="AM188" i="9" s="1"/>
  <c r="AM186" i="9"/>
  <c r="W186" i="9" s="1"/>
  <c r="AM141" i="9"/>
  <c r="W141" i="9" s="1"/>
  <c r="AM171" i="9"/>
  <c r="AO171" i="9" s="1"/>
  <c r="AM190" i="9"/>
  <c r="W190" i="9" s="1"/>
  <c r="AL157" i="9"/>
  <c r="AL175" i="9"/>
  <c r="AM175" i="9" s="1"/>
  <c r="AL183" i="9"/>
  <c r="AM183" i="9" s="1"/>
  <c r="AL130" i="9"/>
  <c r="AM130" i="9" s="1"/>
  <c r="AL176" i="9"/>
  <c r="AM169" i="9"/>
  <c r="W169" i="9" s="1"/>
  <c r="AL184" i="9"/>
  <c r="AM184" i="9" s="1"/>
  <c r="AM131" i="9"/>
  <c r="AO131" i="9" s="1"/>
  <c r="AL131" i="9"/>
  <c r="AL138" i="9"/>
  <c r="AM138" i="9" s="1"/>
  <c r="AL154" i="9"/>
  <c r="AL174" i="9"/>
  <c r="AM174" i="9" s="1"/>
  <c r="AL185" i="9"/>
  <c r="AM185" i="9" s="1"/>
  <c r="AM182" i="9"/>
  <c r="W182" i="9" s="1"/>
  <c r="AL180" i="9"/>
  <c r="AL193" i="9"/>
  <c r="AM193" i="9" s="1"/>
  <c r="AL192" i="9"/>
  <c r="AM192" i="9" s="1"/>
  <c r="AL170" i="9"/>
  <c r="AM170" i="9" s="1"/>
  <c r="AL178" i="9"/>
  <c r="AM178" i="9" s="1"/>
  <c r="AL187" i="9"/>
  <c r="AM187" i="9" s="1"/>
  <c r="AL172" i="9"/>
  <c r="AM172" i="9" s="1"/>
  <c r="AL191" i="9"/>
  <c r="AM191" i="9" s="1"/>
  <c r="AO191" i="9" s="1"/>
  <c r="AL151" i="9"/>
  <c r="AL150" i="9"/>
  <c r="AM189" i="9"/>
  <c r="AM180" i="9"/>
  <c r="W178" i="9"/>
  <c r="AO178" i="9"/>
  <c r="AM177" i="9"/>
  <c r="AM173" i="9"/>
  <c r="AM176" i="9"/>
  <c r="AM154" i="9"/>
  <c r="AL129" i="9"/>
  <c r="AM129" i="9" s="1"/>
  <c r="AL137" i="9"/>
  <c r="AM137" i="9" s="1"/>
  <c r="AM151" i="9"/>
  <c r="AO151" i="9" s="1"/>
  <c r="AL149" i="9"/>
  <c r="AM149" i="9" s="1"/>
  <c r="AM159" i="9"/>
  <c r="W159" i="9" s="1"/>
  <c r="AL106" i="9"/>
  <c r="AM106" i="9" s="1"/>
  <c r="W106" i="9" s="1"/>
  <c r="AL125" i="9"/>
  <c r="AL123" i="9"/>
  <c r="AM123" i="9" s="1"/>
  <c r="AL145" i="9"/>
  <c r="AM145" i="9" s="1"/>
  <c r="AL140" i="9"/>
  <c r="AM140" i="9" s="1"/>
  <c r="AL147" i="9"/>
  <c r="AM147" i="9" s="1"/>
  <c r="AL142" i="9"/>
  <c r="AL160" i="9"/>
  <c r="AM160" i="9" s="1"/>
  <c r="AL158" i="9"/>
  <c r="AM158" i="9" s="1"/>
  <c r="W158" i="9" s="1"/>
  <c r="AL165" i="9"/>
  <c r="AM165" i="9" s="1"/>
  <c r="W165" i="9" s="1"/>
  <c r="AL124" i="9"/>
  <c r="AM124" i="9" s="1"/>
  <c r="AL143" i="9"/>
  <c r="AM143" i="9" s="1"/>
  <c r="AL148" i="9"/>
  <c r="AL156" i="9"/>
  <c r="AM156" i="9" s="1"/>
  <c r="AO156" i="9" s="1"/>
  <c r="AL167" i="9"/>
  <c r="AM167" i="9" s="1"/>
  <c r="AL163" i="9"/>
  <c r="AM163" i="9" s="1"/>
  <c r="AL168" i="9"/>
  <c r="AM168" i="9" s="1"/>
  <c r="AL126" i="9"/>
  <c r="AM126" i="9" s="1"/>
  <c r="AL122" i="9"/>
  <c r="AM122" i="9" s="1"/>
  <c r="AL133" i="9"/>
  <c r="AM133" i="9" s="1"/>
  <c r="AL132" i="9"/>
  <c r="AM132" i="9" s="1"/>
  <c r="AL146" i="9"/>
  <c r="AM146" i="9" s="1"/>
  <c r="AM142" i="9"/>
  <c r="W142" i="9" s="1"/>
  <c r="AL127" i="9"/>
  <c r="AM127" i="9" s="1"/>
  <c r="W127" i="9" s="1"/>
  <c r="AM125" i="9"/>
  <c r="W125" i="9" s="1"/>
  <c r="AL152" i="9"/>
  <c r="AM152" i="9" s="1"/>
  <c r="AL161" i="9"/>
  <c r="AM161" i="9" s="1"/>
  <c r="AL159" i="9"/>
  <c r="AL128" i="9"/>
  <c r="AM128" i="9" s="1"/>
  <c r="AL136" i="9"/>
  <c r="AM136" i="9" s="1"/>
  <c r="AL134" i="9"/>
  <c r="AM134" i="9" s="1"/>
  <c r="AL139" i="9"/>
  <c r="AM139" i="9" s="1"/>
  <c r="AL153" i="9"/>
  <c r="AM153" i="9" s="1"/>
  <c r="AM157" i="9"/>
  <c r="W157" i="9" s="1"/>
  <c r="AL155" i="9"/>
  <c r="AL164" i="9"/>
  <c r="AM164" i="9" s="1"/>
  <c r="AL162" i="9"/>
  <c r="AM162" i="9" s="1"/>
  <c r="AM155" i="9"/>
  <c r="AM148" i="9"/>
  <c r="AM150" i="9"/>
  <c r="W151" i="9"/>
  <c r="AO141" i="9"/>
  <c r="W131" i="9"/>
  <c r="AL109" i="9"/>
  <c r="AL116" i="9"/>
  <c r="AM116" i="9" s="1"/>
  <c r="AL111" i="9"/>
  <c r="AL114" i="9"/>
  <c r="AM114" i="9" s="1"/>
  <c r="AM111" i="9"/>
  <c r="W111" i="9" s="1"/>
  <c r="AL112" i="9"/>
  <c r="AM112" i="9" s="1"/>
  <c r="AL110" i="9"/>
  <c r="AM110" i="9" s="1"/>
  <c r="AL117" i="9"/>
  <c r="AM117" i="9" s="1"/>
  <c r="AL113" i="9"/>
  <c r="AM113" i="9" s="1"/>
  <c r="AL119" i="9"/>
  <c r="AM119" i="9" s="1"/>
  <c r="AO119" i="9" s="1"/>
  <c r="AL118" i="9"/>
  <c r="AM118" i="9" s="1"/>
  <c r="W118" i="9" s="1"/>
  <c r="AL120" i="9"/>
  <c r="AM120" i="9" s="1"/>
  <c r="AL121" i="9"/>
  <c r="AM121" i="9" s="1"/>
  <c r="AL107" i="9"/>
  <c r="AM107" i="9"/>
  <c r="AO107" i="9" s="1"/>
  <c r="AL108" i="9"/>
  <c r="AM108" i="9" s="1"/>
  <c r="AL115" i="9"/>
  <c r="AM115" i="9" s="1"/>
  <c r="AM109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M26" i="9" s="1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98" i="9" l="1"/>
  <c r="AO198" i="9"/>
  <c r="W197" i="9"/>
  <c r="AO197" i="9"/>
  <c r="W184" i="9"/>
  <c r="AO184" i="9"/>
  <c r="AO185" i="9"/>
  <c r="W185" i="9"/>
  <c r="AO166" i="9"/>
  <c r="W166" i="9"/>
  <c r="W144" i="9"/>
  <c r="AO144" i="9"/>
  <c r="AO192" i="9"/>
  <c r="W192" i="9"/>
  <c r="AO157" i="9"/>
  <c r="AO169" i="9"/>
  <c r="AO179" i="9"/>
  <c r="AO190" i="9"/>
  <c r="AO127" i="9"/>
  <c r="W171" i="9"/>
  <c r="W187" i="9"/>
  <c r="AO187" i="9"/>
  <c r="AO174" i="9"/>
  <c r="W174" i="9"/>
  <c r="W116" i="9"/>
  <c r="AO116" i="9"/>
  <c r="AO183" i="9"/>
  <c r="W183" i="9"/>
  <c r="AO170" i="9"/>
  <c r="W170" i="9"/>
  <c r="AO193" i="9"/>
  <c r="W193" i="9"/>
  <c r="W175" i="9"/>
  <c r="AO175" i="9"/>
  <c r="W130" i="9"/>
  <c r="AO130" i="9"/>
  <c r="AO146" i="9"/>
  <c r="W146" i="9"/>
  <c r="AO138" i="9"/>
  <c r="W138" i="9"/>
  <c r="AO135" i="9"/>
  <c r="W135" i="9"/>
  <c r="AO125" i="9"/>
  <c r="AO159" i="9"/>
  <c r="AO182" i="9"/>
  <c r="AO186" i="9"/>
  <c r="W191" i="9"/>
  <c r="AO188" i="9"/>
  <c r="W188" i="9"/>
  <c r="W189" i="9"/>
  <c r="AO189" i="9"/>
  <c r="W181" i="9"/>
  <c r="AO181" i="9"/>
  <c r="AO180" i="9"/>
  <c r="W180" i="9"/>
  <c r="W173" i="9"/>
  <c r="AO173" i="9"/>
  <c r="W176" i="9"/>
  <c r="AO176" i="9"/>
  <c r="W172" i="9"/>
  <c r="AO172" i="9"/>
  <c r="W177" i="9"/>
  <c r="AO177" i="9"/>
  <c r="W136" i="9"/>
  <c r="AO136" i="9"/>
  <c r="W168" i="9"/>
  <c r="AO168" i="9"/>
  <c r="W147" i="9"/>
  <c r="AO147" i="9"/>
  <c r="AO162" i="9"/>
  <c r="W162" i="9"/>
  <c r="AO137" i="9"/>
  <c r="W137" i="9"/>
  <c r="AO113" i="9"/>
  <c r="W113" i="9"/>
  <c r="W126" i="9"/>
  <c r="AO126" i="9"/>
  <c r="W153" i="9"/>
  <c r="AO153" i="9"/>
  <c r="AO152" i="9"/>
  <c r="W152" i="9"/>
  <c r="W132" i="9"/>
  <c r="AO132" i="9"/>
  <c r="W122" i="9"/>
  <c r="AO122" i="9"/>
  <c r="W139" i="9"/>
  <c r="AO139" i="9"/>
  <c r="AO167" i="9"/>
  <c r="W167" i="9"/>
  <c r="W160" i="9"/>
  <c r="AO160" i="9"/>
  <c r="AO123" i="9"/>
  <c r="W123" i="9"/>
  <c r="AO165" i="9"/>
  <c r="AO142" i="9"/>
  <c r="AO158" i="9"/>
  <c r="AO111" i="9"/>
  <c r="W156" i="9"/>
  <c r="AO154" i="9"/>
  <c r="W154" i="9"/>
  <c r="AO164" i="9"/>
  <c r="W164" i="9"/>
  <c r="W163" i="9"/>
  <c r="AO163" i="9"/>
  <c r="W155" i="9"/>
  <c r="AO155" i="9"/>
  <c r="W161" i="9"/>
  <c r="AO161" i="9"/>
  <c r="W149" i="9"/>
  <c r="AO149" i="9"/>
  <c r="AO150" i="9"/>
  <c r="W150" i="9"/>
  <c r="AO148" i="9"/>
  <c r="W148" i="9"/>
  <c r="W145" i="9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<sst xmlns="http://schemas.openxmlformats.org/spreadsheetml/2006/main" count="2071" uniqueCount="390">
  <si>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</si>
  <si>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</si>
  <si>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</si>
  <si>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</si>
  <si>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</si>
  <si>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</si>
  <si>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</si>
  <si>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</si>
  <si>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</si>
  <si>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</si>
  <si>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</si>
  <si>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</si>
  <si>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</si>
  <si>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</si>
  <si>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</si>
  <si>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</si>
  <si>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</si>
  <si>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</si>
  <si>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</si>
  <si>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</si>
  <si>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</si>
  <si>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</si>
  <si>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</si>
  <si>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</si>
  <si>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</si>
  <si>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</si>
  <si>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</si>
  <si>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</si>
  <si>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</si>
  <si>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</si>
  <si>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</si>
  <si>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</si>
  <si>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</si>
  <si>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</si>
  <si>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</si>
  <si>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</si>
  <si>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</si>
  <si>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</si>
  <si>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</si>
  <si>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</si>
  <si>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</si>
  <si>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</si>
  <si>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</si>
  <si>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</si>
  <si>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</si>
  <si>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</si>
  <si>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</si>
  <si>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</si>
  <si>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</si>
  <si>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</si>
  <si>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</si>
  <si>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</si>
  <si>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</si>
  <si>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</si>
  <si>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</si>
  <si>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</si>
  <si>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</si>
  <si>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</si>
  <si>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</si>
  <si>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</si>
  <si>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</si>
  <si>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</si>
  <si>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</si>
  <si>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</si>
  <si>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</si>
  <si>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</si>
  <si>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</si>
  <si>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</si>
  <si>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</si>
  <si>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</si>
  <si>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</si>
  <si>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</si>
  <si>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</si>
  <si>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</si>
  <si>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</si>
  <si>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</si>
  <si>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</si>
  <si>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</si>
  <si>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</si>
  <si>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</si>
  <si>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</si>
  <si>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</si>
  <si>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</si>
  <si>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</si>
  <si>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</si>
  <si>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</si>
  <si>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</si>
  <si>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</si>
  <si>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</si>
  <si>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</si>
  <si>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</si>
  <si>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</si>
  <si>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</si>
  <si>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</si>
  <si>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</si>
  <si>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</si>
  <si>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</si>
  <si>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</si>
  <si>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</si>
  <si>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</si>
  <si>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</si>
  <si>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</si>
  <si>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</si>
  <si>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</si>
  <si>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</si>
  <si>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</si>
  <si>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</si>
  <si>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</si>
  <si>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</si>
  <si>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</si>
  <si>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</si>
  <si>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</si>
  <si>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</si>
  <si>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</si>
  <si>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</si>
  <si>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</si>
  <si>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</si>
  <si>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</si>
  <si>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</si>
  <si>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</si>
  <si>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</si>
  <si>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</si>
  <si>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</si>
  <si>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</si>
  <si>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</si>
  <si>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</si>
  <si>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</si>
  <si>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</si>
  <si>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</si>
  <si>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</si>
  <si>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</si>
  <si>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</si>
  <si>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</si>
  <si>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</si>
  <si>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</si>
  <si>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</si>
  <si>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</si>
  <si>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</si>
  <si>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</si>
  <si>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</si>
  <si>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</si>
  <si>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</si>
  <si>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</si>
  <si>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</si>
  <si>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</si>
  <si>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</si>
  <si>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</si>
  <si>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</si>
  <si>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</si>
  <si>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</si>
  <si>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</si>
  <si>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</si>
  <si>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</si>
  <si>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</si>
  <si>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</si>
  <si>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</si>
  <si>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</si>
  <si>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</si>
  <si>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</si>
  <si>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</si>
  <si>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</si>
  <si>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</si>
  <si>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</si>
  <si>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</si>
  <si>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</si>
  <si>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</si>
  <si>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</si>
  <si>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</si>
  <si>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</si>
  <si>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</si>
  <si>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</si>
  <si>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</si>
  <si>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</si>
  <si>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</si>
  <si>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</si>
  <si>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</si>
  <si>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</si>
  <si>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</si>
  <si>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</si>
  <si>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</si>
  <si>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</si>
  <si>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</si>
  <si>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</si>
  <si>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</si>
  <si>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</si>
  <si>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</si>
  <si>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</si>
  <si>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</si>
  <si>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</si>
  <si>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</si>
  <si>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</si>
  <si>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</si>
  <si>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</si>
  <si>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</si>
  <si>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</si>
  <si>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</si>
  <si>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</si>
  <si>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</si>
  <si>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</si>
  <si>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</si>
  <si>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</si>
  <si>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</si>
  <si>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</si>
  <si>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</si>
  <si>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</si>
  <si>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</si>
  <si>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</si>
  <si>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</si>
  <si>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</si>
  <si>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</si>
  <si>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</si>
  <si>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</si>
  <si>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</si>
  <si>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</si>
  <si>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</si>
  <si>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</si>
  <si>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</si>
  <si>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</si>
  <si>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</si>
  <si>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</si>
  <si>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</si>
  <si>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</si>
  <si>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</si>
  <si>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</si>
  <si>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</si>
  <si>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</si>
  <si>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</si>
  <si>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</si>
  <si>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</si>
  <si>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</si>
  <si>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</si>
  <si>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</si>
  <si>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</si>
  <si>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</si>
  <si>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</si>
  <si>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</si>
  <si>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</si>
  <si>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</si>
  <si>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</si>
  <si>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</si>
  <si>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</si>
  <si>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</si>
  <si>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</si>
  <si>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</si>
  <si>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</si>
  <si>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</si>
  <si>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</si>
  <si>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</si>
  <si>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</si>
  <si>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</si>
  <si>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</si>
  <si>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</si>
  <si>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</si>
  <si>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</si>
  <si>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</si>
  <si>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</si>
  <si>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</si>
  <si>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</si>
  <si>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</si>
  <si>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</si>
  <si>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</si>
  <si>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</si>
  <si>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</si>
  <si>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</si>
  <si>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</si>
  <si>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</si>
  <si>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</si>
  <si>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</si>
  <si>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</si>
  <si>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</si>
  <si>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</si>
  <si>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</si>
  <si>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</si>
  <si>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</si>
  <si>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</si>
  <si>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</si>
  <si>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</si>
  <si>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</si>
  <si>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</si>
  <si>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</si>
  <si>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</si>
  <si>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</si>
  <si>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</si>
  <si>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</si>
  <si>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</si>
  <si>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</si>
  <si>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</si>
  <si>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</si>
  <si>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</si>
  <si>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</si>
  <si>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</si>
  <si>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</si>
  <si>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</si>
  <si>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</si>
  <si>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</si>
  <si>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</si>
  <si>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</si>
  <si>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</si>
  <si>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</si>
  <si>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</si>
  <si>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</si>
  <si>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</si>
  <si>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</si>
  <si>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</si>
  <si>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</si>
  <si>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</si>
  <si>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</si>
  <si>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</si>
  <si>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</si>
  <si>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</si>
  <si>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</si>
  <si>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</si>
  <si>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</si>
  <si>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</si>
  <si>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</si>
  <si>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</si>
  <si>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</si>
  <si>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</si>
  <si>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</si>
  <si>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</si>
  <si>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</si>
  <si>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</si>
  <si>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</si>
  <si>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</si>
  <si>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</si>
  <si>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</si>
  <si>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</si>
  <si>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</si>
  <si>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</si>
  <si>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</si>
  <si>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</si>
  <si>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</si>
  <si>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</si>
  <si>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</si>
  <si>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</si>
  <si>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</si>
  <si>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</si>
  <si>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</si>
  <si>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</si>
  <si>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</si>
  <si>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</si>
  <si>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</si>
  <si>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</si>
  <si>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</si>
  <si>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</si>
  <si>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</si>
  <si>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</si>
  <si>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</si>
  <si>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</si>
  <si>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</si>
  <si>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</si>
  <si>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</si>
  <si>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</si>
  <si>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</si>
  <si>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</si>
  <si>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</si>
  <si>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</si>
  <si>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</si>
  <si>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</si>
  <si>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</si>
  <si>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</si>
  <si>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</si>
  <si>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</si>
  <si>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</si>
  <si>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</si>
  <si>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</si>
  <si>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</si>
  <si>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</si>
  <si>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</si>
  <si>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</si>
  <si>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</si>
  <si>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</si>
  <si>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</si>
  <si>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</si>
  <si>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</si>
  <si>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</si>
  <si>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</si>
  <si>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</si>
  <si>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</si>
  <si>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</si>
  <si>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</si>
  <si>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</si>
  <si>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</si>
  <si>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</si>
  <si>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</si>
  <si>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</si>
  <si>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</si>
  <si>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</si>
  <si>
    <t>*04530*</t>
  </si>
  <si>
    <t>Victor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</si>
</sst>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201"/>
  <sheetViews>
    <sheetView tabSelected="1" topLeftCell="G1" zoomScaleNormal="100" workbookViewId="0">
      <pane ySplit="1" topLeftCell="A2" activePane="bottomLeft" state="frozen"/>
      <selection pane="bottomLeft" activeCell="A10" sqref="A10:XFD10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  <row r="146" spans="1:41" x14ac:dyDescent="0.25">
      <c r="A146" t="s">
        <v>4</v>
      </c>
      <c r="B146">
        <v>6</v>
      </c>
      <c r="C146">
        <v>277</v>
      </c>
      <c r="D146">
        <v>84</v>
      </c>
      <c r="E146">
        <v>0</v>
      </c>
      <c r="F146">
        <v>68</v>
      </c>
      <c r="G146">
        <v>3</v>
      </c>
      <c r="H146">
        <v>0</v>
      </c>
      <c r="I146">
        <v>0</v>
      </c>
      <c r="J146">
        <v>0</v>
      </c>
      <c r="K146">
        <v>162</v>
      </c>
      <c r="L146">
        <v>19</v>
      </c>
      <c r="M146">
        <v>1</v>
      </c>
      <c r="N146" t="s">
        <v>6</v>
      </c>
      <c r="O146">
        <v>2</v>
      </c>
      <c r="P146">
        <v>4</v>
      </c>
      <c r="Q146">
        <v>17</v>
      </c>
      <c r="R146">
        <v>24</v>
      </c>
      <c r="S146">
        <v>50</v>
      </c>
      <c r="T146">
        <v>65</v>
      </c>
      <c r="U146">
        <v>261.5</v>
      </c>
      <c r="V146">
        <v>6</v>
      </c>
      <c r="W146">
        <f t="shared" ref="W146:W153" si="171">AM146-U146</f>
        <v>143</v>
      </c>
      <c r="X146">
        <f t="shared" ref="X146:X153" si="172">IF(O146=1,50,IF(O146=2,25,IF(O146=3,18,IF(O146=4,16,IF(O146=5,14,IF(O146=6,12,IF(O146=7,10,IF(O146=8,9,IF(O146=10,7,IF(O146&lt;=15,6,IF(O146&lt;=20,5,IF(O146&lt;=25,4,IF(O146&lt;=30,3,IF(O146&lt;=40,2,IF(O146&lt;=50,1,IF(O146&gt;50,0))))))))))))))))</f>
        <v>25</v>
      </c>
      <c r="Y146">
        <f t="shared" ref="Y146:Y153" si="173">IF(P146=1,50,IF(P146=2,25,IF(P146=3,18,IF(P146=4,16,IF(P146=5,14,IF(P146=6,12,IF(P146=7,10,IF(P146=8,9,IF(P146=10,7,IF(P146&lt;=15,6,IF(P146&lt;=20,5,IF(P146&lt;=25,4,IF(P146&lt;=30,3,IF(P146&lt;=40,2,IF(P146&lt;=50,1,IF(P146&gt;50,0))))))))))))))))</f>
        <v>16</v>
      </c>
      <c r="Z146">
        <f t="shared" ref="Z146:Z153" si="174">IF(Q146=1,50,IF(Q146=2,25,IF(Q146=3,18,IF(Q146=4,16,IF(Q146=5,14,IF(Q146=6,12,IF(Q146=7,10,IF(Q146=8,9,IF(Q146=10,7,IF(Q146&lt;=15,6,IF(Q146&lt;=20,5,IF(Q146&lt;=25,4,IF(Q146&lt;=30,3,IF(Q146&lt;=40,2,IF(Q146&lt;=50,1,IF(Q146&gt;50,0))))))))))))))))</f>
        <v>5</v>
      </c>
      <c r="AA146">
        <f t="shared" ref="AA146:AA153" si="175">IF(R146=1,50,IF(R146=2,25,IF(R146=3,18,IF(R146=4,16,IF(R146=5,14,IF(R146=6,12,IF(R146=7,10,IF(R146=8,9,IF(R146=10,7,IF(R146&lt;=15,6,IF(R146&lt;=20,5,IF(R146&lt;=25,4,IF(R146&lt;=30,3,IF(R146&lt;=40,2,IF(R146&lt;=50,1,IF(R146&gt;50,0))))))))))))))))</f>
        <v>4</v>
      </c>
      <c r="AB146">
        <f t="shared" ref="AB146:AB153" si="176">IF(S146=1,50,IF(S146=2,25,IF(S146=3,18,IF(S146=4,16,IF(S146=5,14,IF(S146=6,12,IF(S146=7,10,IF(S146=8,9,IF(S146=10,7,IF(S146&lt;=15,6,IF(S146&lt;=20,5,IF(S146&lt;=25,4,IF(S146&lt;=30,3,IF(S146&lt;=40,2,IF(S146&lt;=50,1,IF(S146&gt;50,0))))))))))))))))</f>
        <v>1</v>
      </c>
      <c r="AC146">
        <f t="shared" ref="AC146:AC153" si="177">IF(T146=1,50,IF(T146=2,25,IF(T146=3,18,IF(T146=4,16,IF(T146=5,14,IF(T146=6,12,IF(T146=7,10,IF(T146=8,9,IF(T146=10,7,IF(T146&lt;=15,6,IF(T146&lt;=20,5,IF(T146&lt;=25,4,IF(T146&lt;=30,3,IF(T146&lt;=40,2,IF(T146&lt;=50,1,IF(T146&gt;50,0))))))))))))))))</f>
        <v>0</v>
      </c>
      <c r="AD146">
        <f t="shared" ref="AD146:AD153" si="178">C146*0.5</f>
        <v>138.5</v>
      </c>
      <c r="AE146">
        <f t="shared" ref="AE146:AE153" si="179">D146*3</f>
        <v>252</v>
      </c>
      <c r="AF146">
        <f t="shared" ref="AF146:AF153" si="180">E146*8</f>
        <v>0</v>
      </c>
      <c r="AG146">
        <f t="shared" ref="AG146:AG153" si="181">-1*(F146/2)</f>
        <v>-34</v>
      </c>
      <c r="AH146">
        <f t="shared" ref="AH146:AH153" si="182">G146*-1</f>
        <v>-3</v>
      </c>
      <c r="AI146">
        <f t="shared" ref="AI146:AI153" si="183">H146*13</f>
        <v>0</v>
      </c>
      <c r="AJ146">
        <f t="shared" ref="AJ146:AJ153" si="184">I146*5</f>
        <v>0</v>
      </c>
      <c r="AK146">
        <f t="shared" ref="AK146:AK153" si="185">J146*-1</f>
        <v>0</v>
      </c>
      <c r="AL146">
        <f t="shared" ref="AL146:AL153" si="186">SUM(X146:AC146)</f>
        <v>51</v>
      </c>
      <c r="AM146">
        <f t="shared" ref="AM146:AM153" si="187">SUM(AD146:AL146)</f>
        <v>404.5</v>
      </c>
      <c r="AN146">
        <f t="shared" ref="AN146:AN153" si="188">SUM(C146:G146,J146)</f>
        <v>432</v>
      </c>
      <c r="AO146" s="1">
        <f t="shared" ref="AO146:AO153" si="189">AM146/AN146</f>
        <v>0.93634259259259256</v>
      </c>
    </row>
    <row r="147" spans="1:41" x14ac:dyDescent="0.25">
      <c r="A147" t="s">
        <v>0</v>
      </c>
      <c r="B147">
        <v>6</v>
      </c>
      <c r="C147">
        <v>272</v>
      </c>
      <c r="D147">
        <v>68</v>
      </c>
      <c r="E147">
        <v>0</v>
      </c>
      <c r="F147">
        <v>49</v>
      </c>
      <c r="G147">
        <v>6</v>
      </c>
      <c r="H147">
        <v>0</v>
      </c>
      <c r="I147">
        <v>0</v>
      </c>
      <c r="J147">
        <v>1</v>
      </c>
      <c r="K147">
        <v>208</v>
      </c>
      <c r="L147">
        <v>19</v>
      </c>
      <c r="M147">
        <v>1</v>
      </c>
      <c r="N147" t="s">
        <v>7</v>
      </c>
      <c r="O147">
        <v>2</v>
      </c>
      <c r="P147">
        <v>17</v>
      </c>
      <c r="Q147">
        <v>24</v>
      </c>
      <c r="R147">
        <v>37</v>
      </c>
      <c r="S147">
        <v>56</v>
      </c>
      <c r="T147">
        <v>72</v>
      </c>
      <c r="U147">
        <v>261.5</v>
      </c>
      <c r="V147">
        <v>5</v>
      </c>
      <c r="W147">
        <f t="shared" si="171"/>
        <v>83</v>
      </c>
      <c r="X147">
        <f t="shared" si="172"/>
        <v>25</v>
      </c>
      <c r="Y147">
        <f t="shared" si="173"/>
        <v>5</v>
      </c>
      <c r="Z147">
        <f t="shared" si="174"/>
        <v>4</v>
      </c>
      <c r="AA147">
        <f t="shared" si="175"/>
        <v>2</v>
      </c>
      <c r="AB147">
        <f t="shared" si="176"/>
        <v>0</v>
      </c>
      <c r="AC147">
        <f t="shared" si="177"/>
        <v>0</v>
      </c>
      <c r="AD147">
        <f t="shared" si="178"/>
        <v>136</v>
      </c>
      <c r="AE147">
        <f t="shared" si="179"/>
        <v>204</v>
      </c>
      <c r="AF147">
        <f t="shared" si="180"/>
        <v>0</v>
      </c>
      <c r="AG147">
        <f t="shared" si="181"/>
        <v>-24.5</v>
      </c>
      <c r="AH147">
        <f t="shared" si="182"/>
        <v>-6</v>
      </c>
      <c r="AI147">
        <f t="shared" si="183"/>
        <v>0</v>
      </c>
      <c r="AJ147">
        <f t="shared" si="184"/>
        <v>0</v>
      </c>
      <c r="AK147">
        <f t="shared" si="185"/>
        <v>-1</v>
      </c>
      <c r="AL147">
        <f t="shared" si="186"/>
        <v>36</v>
      </c>
      <c r="AM147">
        <f t="shared" si="187"/>
        <v>344.5</v>
      </c>
      <c r="AN147">
        <f t="shared" si="188"/>
        <v>396</v>
      </c>
      <c r="AO147" s="1">
        <f t="shared" si="189"/>
        <v>0.86994949494949492</v>
      </c>
    </row>
    <row r="148" spans="1:41" x14ac:dyDescent="0.25">
      <c r="A148" t="s">
        <v>7</v>
      </c>
      <c r="B148">
        <v>6</v>
      </c>
      <c r="C148">
        <v>301</v>
      </c>
      <c r="D148">
        <v>63</v>
      </c>
      <c r="E148">
        <v>1</v>
      </c>
      <c r="F148">
        <v>63</v>
      </c>
      <c r="G148">
        <v>4</v>
      </c>
      <c r="H148">
        <v>0</v>
      </c>
      <c r="I148">
        <v>0</v>
      </c>
      <c r="J148">
        <v>0</v>
      </c>
      <c r="K148">
        <v>208</v>
      </c>
      <c r="L148">
        <v>19</v>
      </c>
      <c r="M148">
        <v>0</v>
      </c>
      <c r="N148" t="s">
        <v>0</v>
      </c>
      <c r="O148">
        <v>12</v>
      </c>
      <c r="P148">
        <v>12</v>
      </c>
      <c r="Q148">
        <v>17</v>
      </c>
      <c r="R148">
        <v>37</v>
      </c>
      <c r="S148">
        <v>61</v>
      </c>
      <c r="T148">
        <v>69</v>
      </c>
      <c r="U148">
        <v>261.5</v>
      </c>
      <c r="V148">
        <v>5</v>
      </c>
      <c r="W148">
        <f t="shared" si="171"/>
        <v>69.5</v>
      </c>
      <c r="X148">
        <f t="shared" si="172"/>
        <v>6</v>
      </c>
      <c r="Y148">
        <f t="shared" si="173"/>
        <v>6</v>
      </c>
      <c r="Z148">
        <f t="shared" si="174"/>
        <v>5</v>
      </c>
      <c r="AA148">
        <f t="shared" si="175"/>
        <v>2</v>
      </c>
      <c r="AB148">
        <f t="shared" si="176"/>
        <v>0</v>
      </c>
      <c r="AC148">
        <f t="shared" si="177"/>
        <v>0</v>
      </c>
      <c r="AD148">
        <f t="shared" si="178"/>
        <v>150.5</v>
      </c>
      <c r="AE148">
        <f t="shared" si="179"/>
        <v>189</v>
      </c>
      <c r="AF148">
        <f t="shared" si="180"/>
        <v>8</v>
      </c>
      <c r="AG148">
        <f t="shared" si="181"/>
        <v>-31.5</v>
      </c>
      <c r="AH148">
        <f t="shared" si="182"/>
        <v>-4</v>
      </c>
      <c r="AI148">
        <f t="shared" si="183"/>
        <v>0</v>
      </c>
      <c r="AJ148">
        <f t="shared" si="184"/>
        <v>0</v>
      </c>
      <c r="AK148">
        <f t="shared" si="185"/>
        <v>0</v>
      </c>
      <c r="AL148">
        <f t="shared" si="186"/>
        <v>19</v>
      </c>
      <c r="AM148">
        <f t="shared" si="187"/>
        <v>331</v>
      </c>
      <c r="AN148">
        <f t="shared" si="188"/>
        <v>432</v>
      </c>
      <c r="AO148" s="1">
        <f t="shared" si="189"/>
        <v>0.76620370370370372</v>
      </c>
    </row>
    <row r="149" spans="1:41" x14ac:dyDescent="0.25">
      <c r="A149" t="s">
        <v>3</v>
      </c>
      <c r="B149">
        <v>6</v>
      </c>
      <c r="C149">
        <v>273</v>
      </c>
      <c r="D149">
        <v>60</v>
      </c>
      <c r="E149">
        <v>0</v>
      </c>
      <c r="F149">
        <v>58</v>
      </c>
      <c r="G149">
        <v>4</v>
      </c>
      <c r="H149">
        <v>0</v>
      </c>
      <c r="I149">
        <v>0</v>
      </c>
      <c r="J149">
        <v>1</v>
      </c>
      <c r="K149">
        <v>266</v>
      </c>
      <c r="L149">
        <v>19</v>
      </c>
      <c r="M149">
        <v>1</v>
      </c>
      <c r="N149" t="s">
        <v>2</v>
      </c>
      <c r="O149">
        <v>24</v>
      </c>
      <c r="P149">
        <v>32</v>
      </c>
      <c r="Q149">
        <v>37</v>
      </c>
      <c r="R149">
        <v>45</v>
      </c>
      <c r="S149">
        <v>56</v>
      </c>
      <c r="T149">
        <v>72</v>
      </c>
      <c r="U149">
        <v>261.5</v>
      </c>
      <c r="V149">
        <v>5</v>
      </c>
      <c r="W149">
        <f t="shared" si="171"/>
        <v>30</v>
      </c>
      <c r="X149">
        <f t="shared" si="172"/>
        <v>4</v>
      </c>
      <c r="Y149">
        <f t="shared" si="173"/>
        <v>2</v>
      </c>
      <c r="Z149">
        <f t="shared" si="174"/>
        <v>2</v>
      </c>
      <c r="AA149">
        <f t="shared" si="175"/>
        <v>1</v>
      </c>
      <c r="AB149">
        <f t="shared" si="176"/>
        <v>0</v>
      </c>
      <c r="AC149">
        <f t="shared" si="177"/>
        <v>0</v>
      </c>
      <c r="AD149">
        <f t="shared" si="178"/>
        <v>136.5</v>
      </c>
      <c r="AE149">
        <f t="shared" si="179"/>
        <v>180</v>
      </c>
      <c r="AF149">
        <f t="shared" si="180"/>
        <v>0</v>
      </c>
      <c r="AG149">
        <f t="shared" si="181"/>
        <v>-29</v>
      </c>
      <c r="AH149">
        <f t="shared" si="182"/>
        <v>-4</v>
      </c>
      <c r="AI149">
        <f t="shared" si="183"/>
        <v>0</v>
      </c>
      <c r="AJ149">
        <f t="shared" si="184"/>
        <v>0</v>
      </c>
      <c r="AK149">
        <f t="shared" si="185"/>
        <v>-1</v>
      </c>
      <c r="AL149">
        <f t="shared" si="186"/>
        <v>9</v>
      </c>
      <c r="AM149">
        <f t="shared" si="187"/>
        <v>291.5</v>
      </c>
      <c r="AN149">
        <f t="shared" si="188"/>
        <v>396</v>
      </c>
      <c r="AO149" s="1">
        <f t="shared" si="189"/>
        <v>0.73611111111111116</v>
      </c>
    </row>
    <row r="150" spans="1:41" x14ac:dyDescent="0.25">
      <c r="A150" t="s">
        <v>5</v>
      </c>
      <c r="B150">
        <v>6</v>
      </c>
      <c r="C150">
        <v>225</v>
      </c>
      <c r="D150">
        <v>44</v>
      </c>
      <c r="E150">
        <v>1</v>
      </c>
      <c r="F150">
        <v>47</v>
      </c>
      <c r="G150">
        <v>6</v>
      </c>
      <c r="H150">
        <v>0</v>
      </c>
      <c r="I150">
        <v>0</v>
      </c>
      <c r="J150">
        <v>1</v>
      </c>
      <c r="K150">
        <v>318</v>
      </c>
      <c r="L150">
        <v>19</v>
      </c>
      <c r="M150">
        <v>1</v>
      </c>
      <c r="N150" t="s">
        <v>1</v>
      </c>
      <c r="O150">
        <v>9</v>
      </c>
      <c r="P150">
        <v>32</v>
      </c>
      <c r="Q150">
        <v>61</v>
      </c>
      <c r="R150">
        <v>72</v>
      </c>
      <c r="S150">
        <v>72</v>
      </c>
      <c r="T150">
        <v>72</v>
      </c>
      <c r="U150">
        <v>261.5</v>
      </c>
      <c r="V150">
        <v>3</v>
      </c>
      <c r="W150">
        <f t="shared" si="171"/>
        <v>-31.5</v>
      </c>
      <c r="X150">
        <f t="shared" si="172"/>
        <v>6</v>
      </c>
      <c r="Y150">
        <f t="shared" si="173"/>
        <v>2</v>
      </c>
      <c r="Z150">
        <f t="shared" si="174"/>
        <v>0</v>
      </c>
      <c r="AA150">
        <f t="shared" si="175"/>
        <v>0</v>
      </c>
      <c r="AB150">
        <f t="shared" si="176"/>
        <v>0</v>
      </c>
      <c r="AC150">
        <f t="shared" si="177"/>
        <v>0</v>
      </c>
      <c r="AD150">
        <f t="shared" si="178"/>
        <v>112.5</v>
      </c>
      <c r="AE150">
        <f t="shared" si="179"/>
        <v>132</v>
      </c>
      <c r="AF150">
        <f t="shared" si="180"/>
        <v>8</v>
      </c>
      <c r="AG150">
        <f t="shared" si="181"/>
        <v>-23.5</v>
      </c>
      <c r="AH150">
        <f t="shared" si="182"/>
        <v>-6</v>
      </c>
      <c r="AI150">
        <f t="shared" si="183"/>
        <v>0</v>
      </c>
      <c r="AJ150">
        <f t="shared" si="184"/>
        <v>0</v>
      </c>
      <c r="AK150">
        <f t="shared" si="185"/>
        <v>-1</v>
      </c>
      <c r="AL150">
        <f t="shared" si="186"/>
        <v>8</v>
      </c>
      <c r="AM150">
        <f t="shared" si="187"/>
        <v>230</v>
      </c>
      <c r="AN150">
        <f t="shared" si="188"/>
        <v>324</v>
      </c>
      <c r="AO150" s="1">
        <f t="shared" si="189"/>
        <v>0.70987654320987659</v>
      </c>
    </row>
    <row r="151" spans="1:41" x14ac:dyDescent="0.25">
      <c r="A151" t="s">
        <v>6</v>
      </c>
      <c r="B151">
        <v>6</v>
      </c>
      <c r="C151">
        <v>186</v>
      </c>
      <c r="D151">
        <v>44</v>
      </c>
      <c r="E151">
        <v>2</v>
      </c>
      <c r="F151">
        <v>50</v>
      </c>
      <c r="G151">
        <v>5</v>
      </c>
      <c r="H151">
        <v>0</v>
      </c>
      <c r="I151">
        <v>0</v>
      </c>
      <c r="J151">
        <v>1</v>
      </c>
      <c r="K151">
        <v>349</v>
      </c>
      <c r="L151">
        <v>19</v>
      </c>
      <c r="M151">
        <v>0</v>
      </c>
      <c r="N151" t="s">
        <v>4</v>
      </c>
      <c r="O151">
        <v>5</v>
      </c>
      <c r="P151">
        <v>56</v>
      </c>
      <c r="Q151">
        <v>72</v>
      </c>
      <c r="R151">
        <v>72</v>
      </c>
      <c r="S151">
        <v>72</v>
      </c>
      <c r="T151">
        <v>72</v>
      </c>
      <c r="U151">
        <v>261.5</v>
      </c>
      <c r="V151">
        <v>2</v>
      </c>
      <c r="W151">
        <f t="shared" si="171"/>
        <v>-37.5</v>
      </c>
      <c r="X151">
        <f t="shared" si="172"/>
        <v>14</v>
      </c>
      <c r="Y151">
        <f t="shared" si="173"/>
        <v>0</v>
      </c>
      <c r="Z151">
        <f t="shared" si="174"/>
        <v>0</v>
      </c>
      <c r="AA151">
        <f t="shared" si="175"/>
        <v>0</v>
      </c>
      <c r="AB151">
        <f t="shared" si="176"/>
        <v>0</v>
      </c>
      <c r="AC151">
        <f t="shared" si="177"/>
        <v>0</v>
      </c>
      <c r="AD151">
        <f t="shared" si="178"/>
        <v>93</v>
      </c>
      <c r="AE151">
        <f t="shared" si="179"/>
        <v>132</v>
      </c>
      <c r="AF151">
        <f t="shared" si="180"/>
        <v>16</v>
      </c>
      <c r="AG151">
        <f t="shared" si="181"/>
        <v>-25</v>
      </c>
      <c r="AH151">
        <f t="shared" si="182"/>
        <v>-5</v>
      </c>
      <c r="AI151">
        <f t="shared" si="183"/>
        <v>0</v>
      </c>
      <c r="AJ151">
        <f t="shared" si="184"/>
        <v>0</v>
      </c>
      <c r="AK151">
        <f t="shared" si="185"/>
        <v>-1</v>
      </c>
      <c r="AL151">
        <f t="shared" si="186"/>
        <v>14</v>
      </c>
      <c r="AM151">
        <f t="shared" si="187"/>
        <v>224</v>
      </c>
      <c r="AN151">
        <f t="shared" si="188"/>
        <v>288</v>
      </c>
      <c r="AO151" s="1">
        <f t="shared" si="189"/>
        <v>0.77777777777777779</v>
      </c>
    </row>
    <row r="152" spans="1:41" x14ac:dyDescent="0.25">
      <c r="A152" t="s">
        <v>1</v>
      </c>
      <c r="B152">
        <v>5</v>
      </c>
      <c r="C152">
        <v>164</v>
      </c>
      <c r="D152">
        <v>41</v>
      </c>
      <c r="E152">
        <v>0</v>
      </c>
      <c r="F152">
        <v>45</v>
      </c>
      <c r="G152">
        <v>2</v>
      </c>
      <c r="H152">
        <v>0</v>
      </c>
      <c r="I152">
        <v>0</v>
      </c>
      <c r="J152">
        <v>0</v>
      </c>
      <c r="K152">
        <v>264</v>
      </c>
      <c r="L152">
        <v>19</v>
      </c>
      <c r="M152">
        <v>0</v>
      </c>
      <c r="N152" t="s">
        <v>5</v>
      </c>
      <c r="O152">
        <v>24</v>
      </c>
      <c r="P152">
        <v>24</v>
      </c>
      <c r="Q152">
        <v>72</v>
      </c>
      <c r="R152">
        <v>72</v>
      </c>
      <c r="S152">
        <v>72</v>
      </c>
      <c r="T152" t="s">
        <v>39</v>
      </c>
      <c r="U152">
        <v>261.5</v>
      </c>
      <c r="V152">
        <v>2</v>
      </c>
      <c r="W152">
        <f t="shared" si="171"/>
        <v>-73</v>
      </c>
      <c r="X152">
        <f t="shared" si="172"/>
        <v>4</v>
      </c>
      <c r="Y152">
        <f t="shared" si="173"/>
        <v>4</v>
      </c>
      <c r="Z152">
        <f t="shared" si="174"/>
        <v>0</v>
      </c>
      <c r="AA152">
        <f t="shared" si="175"/>
        <v>0</v>
      </c>
      <c r="AB152">
        <f t="shared" si="176"/>
        <v>0</v>
      </c>
      <c r="AC152">
        <f t="shared" si="177"/>
        <v>0</v>
      </c>
      <c r="AD152">
        <f t="shared" si="178"/>
        <v>82</v>
      </c>
      <c r="AE152">
        <f t="shared" si="179"/>
        <v>123</v>
      </c>
      <c r="AF152">
        <f t="shared" si="180"/>
        <v>0</v>
      </c>
      <c r="AG152">
        <f t="shared" si="181"/>
        <v>-22.5</v>
      </c>
      <c r="AH152">
        <f t="shared" si="182"/>
        <v>-2</v>
      </c>
      <c r="AI152">
        <f t="shared" si="183"/>
        <v>0</v>
      </c>
      <c r="AJ152">
        <f t="shared" si="184"/>
        <v>0</v>
      </c>
      <c r="AK152">
        <f t="shared" si="185"/>
        <v>0</v>
      </c>
      <c r="AL152">
        <f t="shared" si="186"/>
        <v>8</v>
      </c>
      <c r="AM152">
        <f t="shared" si="187"/>
        <v>188.5</v>
      </c>
      <c r="AN152">
        <f t="shared" si="188"/>
        <v>252</v>
      </c>
      <c r="AO152" s="1">
        <f t="shared" si="189"/>
        <v>0.74801587301587302</v>
      </c>
    </row>
    <row r="153" spans="1:41" x14ac:dyDescent="0.25">
      <c r="A153" t="s">
        <v>2</v>
      </c>
      <c r="B153">
        <v>5</v>
      </c>
      <c r="C153">
        <v>182</v>
      </c>
      <c r="D153">
        <v>29</v>
      </c>
      <c r="E153">
        <v>1</v>
      </c>
      <c r="F153">
        <v>38</v>
      </c>
      <c r="G153">
        <v>2</v>
      </c>
      <c r="H153">
        <v>0</v>
      </c>
      <c r="I153">
        <v>0</v>
      </c>
      <c r="J153">
        <v>0</v>
      </c>
      <c r="K153">
        <v>283</v>
      </c>
      <c r="L153">
        <v>19</v>
      </c>
      <c r="M153">
        <v>0</v>
      </c>
      <c r="N153" t="s">
        <v>3</v>
      </c>
      <c r="O153">
        <v>17</v>
      </c>
      <c r="P153">
        <v>50</v>
      </c>
      <c r="Q153">
        <v>72</v>
      </c>
      <c r="R153">
        <v>72</v>
      </c>
      <c r="S153">
        <v>72</v>
      </c>
      <c r="T153" t="s">
        <v>39</v>
      </c>
      <c r="U153">
        <v>261.5</v>
      </c>
      <c r="V153">
        <v>2</v>
      </c>
      <c r="W153">
        <f t="shared" si="171"/>
        <v>-90.5</v>
      </c>
      <c r="X153">
        <f t="shared" si="172"/>
        <v>5</v>
      </c>
      <c r="Y153">
        <f t="shared" si="173"/>
        <v>1</v>
      </c>
      <c r="Z153">
        <f t="shared" si="174"/>
        <v>0</v>
      </c>
      <c r="AA153">
        <f t="shared" si="175"/>
        <v>0</v>
      </c>
      <c r="AB153">
        <f t="shared" si="176"/>
        <v>0</v>
      </c>
      <c r="AC153">
        <f t="shared" si="177"/>
        <v>0</v>
      </c>
      <c r="AD153">
        <f t="shared" si="178"/>
        <v>91</v>
      </c>
      <c r="AE153">
        <f t="shared" si="179"/>
        <v>87</v>
      </c>
      <c r="AF153">
        <f t="shared" si="180"/>
        <v>8</v>
      </c>
      <c r="AG153">
        <f t="shared" si="181"/>
        <v>-19</v>
      </c>
      <c r="AH153">
        <f t="shared" si="182"/>
        <v>-2</v>
      </c>
      <c r="AI153">
        <f t="shared" si="183"/>
        <v>0</v>
      </c>
      <c r="AJ153">
        <f t="shared" si="184"/>
        <v>0</v>
      </c>
      <c r="AK153">
        <f t="shared" si="185"/>
        <v>0</v>
      </c>
      <c r="AL153">
        <f t="shared" si="186"/>
        <v>6</v>
      </c>
      <c r="AM153">
        <f t="shared" si="187"/>
        <v>171</v>
      </c>
      <c r="AN153">
        <f t="shared" si="188"/>
        <v>252</v>
      </c>
      <c r="AO153" s="1">
        <f t="shared" si="189"/>
        <v>0.6785714285714286</v>
      </c>
    </row>
    <row r="154" spans="1:41" x14ac:dyDescent="0.25">
      <c r="A154" t="s">
        <v>1</v>
      </c>
      <c r="B154">
        <v>6</v>
      </c>
      <c r="C154">
        <v>252</v>
      </c>
      <c r="D154">
        <v>90</v>
      </c>
      <c r="E154">
        <v>0</v>
      </c>
      <c r="F154">
        <v>48</v>
      </c>
      <c r="G154">
        <v>6</v>
      </c>
      <c r="H154">
        <v>0</v>
      </c>
      <c r="I154">
        <v>0</v>
      </c>
      <c r="J154">
        <v>0</v>
      </c>
      <c r="K154">
        <v>193</v>
      </c>
      <c r="L154">
        <v>20</v>
      </c>
      <c r="M154">
        <v>1</v>
      </c>
      <c r="N154" t="s">
        <v>7</v>
      </c>
      <c r="O154">
        <v>6</v>
      </c>
      <c r="P154">
        <v>21</v>
      </c>
      <c r="Q154">
        <v>21</v>
      </c>
      <c r="R154">
        <v>33</v>
      </c>
      <c r="S154">
        <v>42</v>
      </c>
      <c r="T154">
        <v>70</v>
      </c>
      <c r="U154">
        <v>283.5</v>
      </c>
      <c r="V154">
        <v>5</v>
      </c>
      <c r="W154">
        <f t="shared" ref="W154:W161" si="190">AM154-U154</f>
        <v>105.5</v>
      </c>
      <c r="X154">
        <f t="shared" ref="X154:X161" si="191">IF(O154=1,50,IF(O154=2,25,IF(O154=3,18,IF(O154=4,16,IF(O154=5,14,IF(O154=6,12,IF(O154=7,10,IF(O154=8,9,IF(O154=10,7,IF(O154&lt;=15,6,IF(O154&lt;=20,5,IF(O154&lt;=25,4,IF(O154&lt;=30,3,IF(O154&lt;=40,2,IF(O154&lt;=50,1,IF(O154&gt;50,0))))))))))))))))</f>
        <v>12</v>
      </c>
      <c r="Y154">
        <f t="shared" ref="Y154:Y161" si="192">IF(P154=1,50,IF(P154=2,25,IF(P154=3,18,IF(P154=4,16,IF(P154=5,14,IF(P154=6,12,IF(P154=7,10,IF(P154=8,9,IF(P154=10,7,IF(P154&lt;=15,6,IF(P154&lt;=20,5,IF(P154&lt;=25,4,IF(P154&lt;=30,3,IF(P154&lt;=40,2,IF(P154&lt;=50,1,IF(P154&gt;50,0))))))))))))))))</f>
        <v>4</v>
      </c>
      <c r="Z154">
        <f t="shared" ref="Z154:Z161" si="193">IF(Q154=1,50,IF(Q154=2,25,IF(Q154=3,18,IF(Q154=4,16,IF(Q154=5,14,IF(Q154=6,12,IF(Q154=7,10,IF(Q154=8,9,IF(Q154=10,7,IF(Q154&lt;=15,6,IF(Q154&lt;=20,5,IF(Q154&lt;=25,4,IF(Q154&lt;=30,3,IF(Q154&lt;=40,2,IF(Q154&lt;=50,1,IF(Q154&gt;50,0))))))))))))))))</f>
        <v>4</v>
      </c>
      <c r="AA154">
        <f t="shared" ref="AA154:AA161" si="194">IF(R154=1,50,IF(R154=2,25,IF(R154=3,18,IF(R154=4,16,IF(R154=5,14,IF(R154=6,12,IF(R154=7,10,IF(R154=8,9,IF(R154=10,7,IF(R154&lt;=15,6,IF(R154&lt;=20,5,IF(R154&lt;=25,4,IF(R154&lt;=30,3,IF(R154&lt;=40,2,IF(R154&lt;=50,1,IF(R154&gt;50,0))))))))))))))))</f>
        <v>2</v>
      </c>
      <c r="AB154">
        <f t="shared" ref="AB154:AB161" si="195">IF(S154=1,50,IF(S154=2,25,IF(S154=3,18,IF(S154=4,16,IF(S154=5,14,IF(S154=6,12,IF(S154=7,10,IF(S154=8,9,IF(S154=10,7,IF(S154&lt;=15,6,IF(S154&lt;=20,5,IF(S154&lt;=25,4,IF(S154&lt;=30,3,IF(S154&lt;=40,2,IF(S154&lt;=50,1,IF(S154&gt;50,0))))))))))))))))</f>
        <v>1</v>
      </c>
      <c r="AC154">
        <f t="shared" ref="AC154:AC161" si="196">IF(T154=1,50,IF(T154=2,25,IF(T154=3,18,IF(T154=4,16,IF(T154=5,14,IF(T154=6,12,IF(T154=7,10,IF(T154=8,9,IF(T154=10,7,IF(T154&lt;=15,6,IF(T154&lt;=20,5,IF(T154&lt;=25,4,IF(T154&lt;=30,3,IF(T154&lt;=40,2,IF(T154&lt;=50,1,IF(T154&gt;50,0))))))))))))))))</f>
        <v>0</v>
      </c>
      <c r="AD154">
        <f t="shared" ref="AD154:AD161" si="197">C154*0.5</f>
        <v>126</v>
      </c>
      <c r="AE154">
        <f t="shared" ref="AE154:AE161" si="198">D154*3</f>
        <v>270</v>
      </c>
      <c r="AF154">
        <f t="shared" ref="AF154:AF161" si="199">E154*8</f>
        <v>0</v>
      </c>
      <c r="AG154">
        <f t="shared" ref="AG154:AG161" si="200">-1*(F154/2)</f>
        <v>-24</v>
      </c>
      <c r="AH154">
        <f t="shared" ref="AH154:AH161" si="201">G154*-1</f>
        <v>-6</v>
      </c>
      <c r="AI154">
        <f t="shared" ref="AI154:AI161" si="202">H154*13</f>
        <v>0</v>
      </c>
      <c r="AJ154">
        <f t="shared" ref="AJ154:AJ161" si="203">I154*5</f>
        <v>0</v>
      </c>
      <c r="AK154">
        <f t="shared" ref="AK154:AK161" si="204">J154*-1</f>
        <v>0</v>
      </c>
      <c r="AL154">
        <f t="shared" ref="AL154:AL161" si="205">SUM(X154:AC154)</f>
        <v>23</v>
      </c>
      <c r="AM154">
        <f t="shared" ref="AM154:AM161" si="206">SUM(AD154:AL154)</f>
        <v>389</v>
      </c>
      <c r="AN154">
        <f t="shared" ref="AN154:AN161" si="207">SUM(C154:G154,J154)</f>
        <v>396</v>
      </c>
      <c r="AO154" s="1">
        <f t="shared" ref="AO154:AO161" si="208">AM154/AN154</f>
        <v>0.98232323232323238</v>
      </c>
    </row>
    <row r="155" spans="1:41" x14ac:dyDescent="0.25">
      <c r="A155" t="s">
        <v>4</v>
      </c>
      <c r="B155">
        <v>6</v>
      </c>
      <c r="C155">
        <v>223</v>
      </c>
      <c r="D155">
        <v>81</v>
      </c>
      <c r="E155">
        <v>2</v>
      </c>
      <c r="F155">
        <v>53</v>
      </c>
      <c r="G155">
        <v>1</v>
      </c>
      <c r="H155">
        <v>0</v>
      </c>
      <c r="I155">
        <v>0</v>
      </c>
      <c r="J155">
        <v>0</v>
      </c>
      <c r="K155">
        <v>200</v>
      </c>
      <c r="L155">
        <v>20</v>
      </c>
      <c r="M155">
        <v>1</v>
      </c>
      <c r="N155" t="s">
        <v>0</v>
      </c>
      <c r="O155">
        <v>4</v>
      </c>
      <c r="P155">
        <v>7</v>
      </c>
      <c r="Q155">
        <v>7</v>
      </c>
      <c r="R155">
        <v>42</v>
      </c>
      <c r="S155">
        <v>70</v>
      </c>
      <c r="T155">
        <v>70</v>
      </c>
      <c r="U155">
        <v>283.5</v>
      </c>
      <c r="V155">
        <v>4</v>
      </c>
      <c r="W155">
        <f t="shared" si="190"/>
        <v>96.5</v>
      </c>
      <c r="X155">
        <f t="shared" si="191"/>
        <v>16</v>
      </c>
      <c r="Y155">
        <f t="shared" si="192"/>
        <v>10</v>
      </c>
      <c r="Z155">
        <f t="shared" si="193"/>
        <v>10</v>
      </c>
      <c r="AA155">
        <f t="shared" si="194"/>
        <v>1</v>
      </c>
      <c r="AB155">
        <f t="shared" si="195"/>
        <v>0</v>
      </c>
      <c r="AC155">
        <f t="shared" si="196"/>
        <v>0</v>
      </c>
      <c r="AD155">
        <f t="shared" si="197"/>
        <v>111.5</v>
      </c>
      <c r="AE155">
        <f t="shared" si="198"/>
        <v>243</v>
      </c>
      <c r="AF155">
        <f t="shared" si="199"/>
        <v>16</v>
      </c>
      <c r="AG155">
        <f t="shared" si="200"/>
        <v>-26.5</v>
      </c>
      <c r="AH155">
        <f t="shared" si="201"/>
        <v>-1</v>
      </c>
      <c r="AI155">
        <f t="shared" si="202"/>
        <v>0</v>
      </c>
      <c r="AJ155">
        <f t="shared" si="203"/>
        <v>0</v>
      </c>
      <c r="AK155">
        <f t="shared" si="204"/>
        <v>0</v>
      </c>
      <c r="AL155">
        <f t="shared" si="205"/>
        <v>37</v>
      </c>
      <c r="AM155">
        <f t="shared" si="206"/>
        <v>380</v>
      </c>
      <c r="AN155">
        <f t="shared" si="207"/>
        <v>360</v>
      </c>
      <c r="AO155" s="1">
        <f t="shared" si="208"/>
        <v>1.0555555555555556</v>
      </c>
    </row>
    <row r="156" spans="1:41" x14ac:dyDescent="0.25">
      <c r="A156" t="s">
        <v>6</v>
      </c>
      <c r="B156">
        <v>6</v>
      </c>
      <c r="C156">
        <v>212</v>
      </c>
      <c r="D156">
        <v>77</v>
      </c>
      <c r="E156">
        <v>3</v>
      </c>
      <c r="F156">
        <v>64</v>
      </c>
      <c r="G156">
        <v>4</v>
      </c>
      <c r="H156">
        <v>0</v>
      </c>
      <c r="I156">
        <v>0</v>
      </c>
      <c r="J156">
        <v>0</v>
      </c>
      <c r="K156">
        <v>305</v>
      </c>
      <c r="L156">
        <v>20</v>
      </c>
      <c r="M156">
        <v>1</v>
      </c>
      <c r="N156" t="s">
        <v>2</v>
      </c>
      <c r="O156">
        <v>1</v>
      </c>
      <c r="P156">
        <v>42</v>
      </c>
      <c r="Q156">
        <v>60</v>
      </c>
      <c r="R156">
        <v>62</v>
      </c>
      <c r="S156">
        <v>70</v>
      </c>
      <c r="T156">
        <v>70</v>
      </c>
      <c r="U156">
        <v>283.5</v>
      </c>
      <c r="V156">
        <v>4</v>
      </c>
      <c r="W156">
        <f t="shared" si="190"/>
        <v>92.5</v>
      </c>
      <c r="X156">
        <f t="shared" si="191"/>
        <v>50</v>
      </c>
      <c r="Y156">
        <f t="shared" si="192"/>
        <v>1</v>
      </c>
      <c r="Z156">
        <f t="shared" si="193"/>
        <v>0</v>
      </c>
      <c r="AA156">
        <f t="shared" si="194"/>
        <v>0</v>
      </c>
      <c r="AB156">
        <f t="shared" si="195"/>
        <v>0</v>
      </c>
      <c r="AC156">
        <f t="shared" si="196"/>
        <v>0</v>
      </c>
      <c r="AD156">
        <f t="shared" si="197"/>
        <v>106</v>
      </c>
      <c r="AE156">
        <f t="shared" si="198"/>
        <v>231</v>
      </c>
      <c r="AF156">
        <f t="shared" si="199"/>
        <v>24</v>
      </c>
      <c r="AG156">
        <f t="shared" si="200"/>
        <v>-32</v>
      </c>
      <c r="AH156">
        <f t="shared" si="201"/>
        <v>-4</v>
      </c>
      <c r="AI156">
        <f t="shared" si="202"/>
        <v>0</v>
      </c>
      <c r="AJ156">
        <f t="shared" si="203"/>
        <v>0</v>
      </c>
      <c r="AK156">
        <f t="shared" si="204"/>
        <v>0</v>
      </c>
      <c r="AL156">
        <f t="shared" si="205"/>
        <v>51</v>
      </c>
      <c r="AM156">
        <f t="shared" si="206"/>
        <v>376</v>
      </c>
      <c r="AN156">
        <f t="shared" si="207"/>
        <v>360</v>
      </c>
      <c r="AO156" s="1">
        <f t="shared" si="208"/>
        <v>1.0444444444444445</v>
      </c>
    </row>
    <row r="157" spans="1:41" x14ac:dyDescent="0.25">
      <c r="A157" t="s">
        <v>2</v>
      </c>
      <c r="B157">
        <v>5</v>
      </c>
      <c r="C157">
        <v>187</v>
      </c>
      <c r="D157">
        <v>58</v>
      </c>
      <c r="E157">
        <v>1</v>
      </c>
      <c r="F157">
        <v>40</v>
      </c>
      <c r="G157">
        <v>2</v>
      </c>
      <c r="H157">
        <v>0</v>
      </c>
      <c r="I157">
        <v>0</v>
      </c>
      <c r="J157">
        <v>0</v>
      </c>
      <c r="K157">
        <v>207</v>
      </c>
      <c r="L157">
        <v>20</v>
      </c>
      <c r="M157">
        <v>0</v>
      </c>
      <c r="N157" t="s">
        <v>6</v>
      </c>
      <c r="O157">
        <v>2</v>
      </c>
      <c r="P157">
        <v>14</v>
      </c>
      <c r="Q157">
        <v>51</v>
      </c>
      <c r="R157">
        <v>70</v>
      </c>
      <c r="S157">
        <v>70</v>
      </c>
      <c r="T157" t="s">
        <v>39</v>
      </c>
      <c r="U157">
        <v>283.5</v>
      </c>
      <c r="V157">
        <v>3</v>
      </c>
      <c r="W157">
        <f t="shared" si="190"/>
        <v>1</v>
      </c>
      <c r="X157">
        <f t="shared" si="191"/>
        <v>25</v>
      </c>
      <c r="Y157">
        <f t="shared" si="192"/>
        <v>6</v>
      </c>
      <c r="Z157">
        <f t="shared" si="193"/>
        <v>0</v>
      </c>
      <c r="AA157">
        <f t="shared" si="194"/>
        <v>0</v>
      </c>
      <c r="AB157">
        <f t="shared" si="195"/>
        <v>0</v>
      </c>
      <c r="AC157">
        <f t="shared" si="196"/>
        <v>0</v>
      </c>
      <c r="AD157">
        <f t="shared" si="197"/>
        <v>93.5</v>
      </c>
      <c r="AE157">
        <f t="shared" si="198"/>
        <v>174</v>
      </c>
      <c r="AF157">
        <f t="shared" si="199"/>
        <v>8</v>
      </c>
      <c r="AG157">
        <f t="shared" si="200"/>
        <v>-20</v>
      </c>
      <c r="AH157">
        <f t="shared" si="201"/>
        <v>-2</v>
      </c>
      <c r="AI157">
        <f t="shared" si="202"/>
        <v>0</v>
      </c>
      <c r="AJ157">
        <f t="shared" si="203"/>
        <v>0</v>
      </c>
      <c r="AK157">
        <f t="shared" si="204"/>
        <v>0</v>
      </c>
      <c r="AL157">
        <f t="shared" si="205"/>
        <v>31</v>
      </c>
      <c r="AM157">
        <f t="shared" si="206"/>
        <v>284.5</v>
      </c>
      <c r="AN157">
        <f t="shared" si="207"/>
        <v>288</v>
      </c>
      <c r="AO157" s="1">
        <f t="shared" si="208"/>
        <v>0.98784722222222221</v>
      </c>
    </row>
    <row r="158" spans="1:41" x14ac:dyDescent="0.25">
      <c r="A158" t="s">
        <v>0</v>
      </c>
      <c r="B158">
        <v>6</v>
      </c>
      <c r="C158">
        <v>195</v>
      </c>
      <c r="D158">
        <v>64</v>
      </c>
      <c r="E158">
        <v>2</v>
      </c>
      <c r="F158">
        <v>60</v>
      </c>
      <c r="G158">
        <v>3</v>
      </c>
      <c r="H158">
        <v>0</v>
      </c>
      <c r="I158">
        <v>0</v>
      </c>
      <c r="J158">
        <v>0</v>
      </c>
      <c r="K158">
        <v>290</v>
      </c>
      <c r="L158">
        <v>20</v>
      </c>
      <c r="M158">
        <v>0</v>
      </c>
      <c r="N158" t="s">
        <v>4</v>
      </c>
      <c r="O158">
        <v>10</v>
      </c>
      <c r="P158">
        <v>35</v>
      </c>
      <c r="Q158">
        <v>35</v>
      </c>
      <c r="R158">
        <v>70</v>
      </c>
      <c r="S158">
        <v>70</v>
      </c>
      <c r="T158">
        <v>70</v>
      </c>
      <c r="U158">
        <v>283.5</v>
      </c>
      <c r="V158">
        <v>3</v>
      </c>
      <c r="W158">
        <f t="shared" si="190"/>
        <v>0</v>
      </c>
      <c r="X158">
        <f t="shared" si="191"/>
        <v>7</v>
      </c>
      <c r="Y158">
        <f t="shared" si="192"/>
        <v>2</v>
      </c>
      <c r="Z158">
        <f t="shared" si="193"/>
        <v>2</v>
      </c>
      <c r="AA158">
        <f t="shared" si="194"/>
        <v>0</v>
      </c>
      <c r="AB158">
        <f t="shared" si="195"/>
        <v>0</v>
      </c>
      <c r="AC158">
        <f t="shared" si="196"/>
        <v>0</v>
      </c>
      <c r="AD158">
        <f t="shared" si="197"/>
        <v>97.5</v>
      </c>
      <c r="AE158">
        <f t="shared" si="198"/>
        <v>192</v>
      </c>
      <c r="AF158">
        <f t="shared" si="199"/>
        <v>16</v>
      </c>
      <c r="AG158">
        <f t="shared" si="200"/>
        <v>-30</v>
      </c>
      <c r="AH158">
        <f t="shared" si="201"/>
        <v>-3</v>
      </c>
      <c r="AI158">
        <f t="shared" si="202"/>
        <v>0</v>
      </c>
      <c r="AJ158">
        <f t="shared" si="203"/>
        <v>0</v>
      </c>
      <c r="AK158">
        <f t="shared" si="204"/>
        <v>0</v>
      </c>
      <c r="AL158">
        <f t="shared" si="205"/>
        <v>11</v>
      </c>
      <c r="AM158">
        <f t="shared" si="206"/>
        <v>283.5</v>
      </c>
      <c r="AN158">
        <f t="shared" si="207"/>
        <v>324</v>
      </c>
      <c r="AO158" s="1">
        <f t="shared" si="208"/>
        <v>0.875</v>
      </c>
    </row>
    <row r="159" spans="1:41" x14ac:dyDescent="0.25">
      <c r="A159" t="s">
        <v>3</v>
      </c>
      <c r="B159">
        <v>4</v>
      </c>
      <c r="C159">
        <v>168</v>
      </c>
      <c r="D159">
        <v>43</v>
      </c>
      <c r="E159">
        <v>6</v>
      </c>
      <c r="F159">
        <v>33</v>
      </c>
      <c r="G159">
        <v>1</v>
      </c>
      <c r="H159">
        <v>0</v>
      </c>
      <c r="I159">
        <v>0</v>
      </c>
      <c r="J159">
        <v>1</v>
      </c>
      <c r="K159">
        <v>129</v>
      </c>
      <c r="L159">
        <v>20</v>
      </c>
      <c r="M159">
        <v>1</v>
      </c>
      <c r="N159" t="s">
        <v>5</v>
      </c>
      <c r="O159">
        <v>10</v>
      </c>
      <c r="P159">
        <v>14</v>
      </c>
      <c r="Q159">
        <v>35</v>
      </c>
      <c r="R159">
        <v>70</v>
      </c>
      <c r="S159" t="s">
        <v>39</v>
      </c>
      <c r="T159" t="s">
        <v>39</v>
      </c>
      <c r="U159">
        <v>283.5</v>
      </c>
      <c r="V159">
        <v>3</v>
      </c>
      <c r="W159">
        <f t="shared" si="190"/>
        <v>-26</v>
      </c>
      <c r="X159">
        <f t="shared" si="191"/>
        <v>7</v>
      </c>
      <c r="Y159">
        <f t="shared" si="192"/>
        <v>6</v>
      </c>
      <c r="Z159">
        <f t="shared" si="193"/>
        <v>2</v>
      </c>
      <c r="AA159">
        <f t="shared" si="194"/>
        <v>0</v>
      </c>
      <c r="AB159">
        <f t="shared" si="195"/>
        <v>0</v>
      </c>
      <c r="AC159">
        <f t="shared" si="196"/>
        <v>0</v>
      </c>
      <c r="AD159">
        <f t="shared" si="197"/>
        <v>84</v>
      </c>
      <c r="AE159">
        <f t="shared" si="198"/>
        <v>129</v>
      </c>
      <c r="AF159">
        <f t="shared" si="199"/>
        <v>48</v>
      </c>
      <c r="AG159">
        <f t="shared" si="200"/>
        <v>-16.5</v>
      </c>
      <c r="AH159">
        <f t="shared" si="201"/>
        <v>-1</v>
      </c>
      <c r="AI159">
        <f t="shared" si="202"/>
        <v>0</v>
      </c>
      <c r="AJ159">
        <f t="shared" si="203"/>
        <v>0</v>
      </c>
      <c r="AK159">
        <f t="shared" si="204"/>
        <v>-1</v>
      </c>
      <c r="AL159">
        <f t="shared" si="205"/>
        <v>15</v>
      </c>
      <c r="AM159">
        <f t="shared" si="206"/>
        <v>257.5</v>
      </c>
      <c r="AN159">
        <f t="shared" si="207"/>
        <v>252</v>
      </c>
      <c r="AO159" s="1">
        <f t="shared" si="208"/>
        <v>1.0218253968253967</v>
      </c>
    </row>
    <row r="160" spans="1:41" x14ac:dyDescent="0.25">
      <c r="A160" t="s">
        <v>5</v>
      </c>
      <c r="B160">
        <v>6</v>
      </c>
      <c r="C160">
        <v>183</v>
      </c>
      <c r="D160">
        <v>50</v>
      </c>
      <c r="E160">
        <v>2</v>
      </c>
      <c r="F160">
        <v>48</v>
      </c>
      <c r="G160">
        <v>5</v>
      </c>
      <c r="H160">
        <v>0</v>
      </c>
      <c r="I160">
        <v>0</v>
      </c>
      <c r="J160">
        <v>0</v>
      </c>
      <c r="K160">
        <v>318</v>
      </c>
      <c r="L160">
        <v>20</v>
      </c>
      <c r="M160">
        <v>0</v>
      </c>
      <c r="N160" t="s">
        <v>3</v>
      </c>
      <c r="O160">
        <v>14</v>
      </c>
      <c r="P160">
        <v>24</v>
      </c>
      <c r="Q160">
        <v>70</v>
      </c>
      <c r="R160">
        <v>70</v>
      </c>
      <c r="S160">
        <v>70</v>
      </c>
      <c r="T160">
        <v>70</v>
      </c>
      <c r="U160">
        <v>283.5</v>
      </c>
      <c r="V160">
        <v>2</v>
      </c>
      <c r="W160">
        <f t="shared" si="190"/>
        <v>-45</v>
      </c>
      <c r="X160">
        <f t="shared" si="191"/>
        <v>6</v>
      </c>
      <c r="Y160">
        <f t="shared" si="192"/>
        <v>4</v>
      </c>
      <c r="Z160">
        <f t="shared" si="193"/>
        <v>0</v>
      </c>
      <c r="AA160">
        <f t="shared" si="194"/>
        <v>0</v>
      </c>
      <c r="AB160">
        <f t="shared" si="195"/>
        <v>0</v>
      </c>
      <c r="AC160">
        <f t="shared" si="196"/>
        <v>0</v>
      </c>
      <c r="AD160">
        <f t="shared" si="197"/>
        <v>91.5</v>
      </c>
      <c r="AE160">
        <f t="shared" si="198"/>
        <v>150</v>
      </c>
      <c r="AF160">
        <f t="shared" si="199"/>
        <v>16</v>
      </c>
      <c r="AG160">
        <f t="shared" si="200"/>
        <v>-24</v>
      </c>
      <c r="AH160">
        <f t="shared" si="201"/>
        <v>-5</v>
      </c>
      <c r="AI160">
        <f t="shared" si="202"/>
        <v>0</v>
      </c>
      <c r="AJ160">
        <f t="shared" si="203"/>
        <v>0</v>
      </c>
      <c r="AK160">
        <f t="shared" si="204"/>
        <v>0</v>
      </c>
      <c r="AL160">
        <f t="shared" si="205"/>
        <v>10</v>
      </c>
      <c r="AM160">
        <f t="shared" si="206"/>
        <v>238.5</v>
      </c>
      <c r="AN160">
        <f t="shared" si="207"/>
        <v>288</v>
      </c>
      <c r="AO160" s="1">
        <f t="shared" si="208"/>
        <v>0.828125</v>
      </c>
    </row>
    <row r="161" spans="1:41" x14ac:dyDescent="0.25">
      <c r="A161" t="s">
        <v>7</v>
      </c>
      <c r="B161">
        <v>3</v>
      </c>
      <c r="C161">
        <v>127</v>
      </c>
      <c r="D161">
        <v>25</v>
      </c>
      <c r="E161">
        <v>1</v>
      </c>
      <c r="F161">
        <v>26</v>
      </c>
      <c r="G161">
        <v>1</v>
      </c>
      <c r="H161">
        <v>0</v>
      </c>
      <c r="I161">
        <v>0</v>
      </c>
      <c r="J161">
        <v>0</v>
      </c>
      <c r="K161">
        <v>172</v>
      </c>
      <c r="L161">
        <v>20</v>
      </c>
      <c r="M161">
        <v>0</v>
      </c>
      <c r="N161" t="s">
        <v>1</v>
      </c>
      <c r="O161">
        <v>42</v>
      </c>
      <c r="P161">
        <v>60</v>
      </c>
      <c r="Q161">
        <v>70</v>
      </c>
      <c r="R161" t="s">
        <v>39</v>
      </c>
      <c r="S161" t="s">
        <v>39</v>
      </c>
      <c r="T161" t="s">
        <v>39</v>
      </c>
      <c r="U161">
        <v>283.5</v>
      </c>
      <c r="V161">
        <v>2</v>
      </c>
      <c r="W161">
        <f t="shared" si="190"/>
        <v>-150</v>
      </c>
      <c r="X161">
        <f t="shared" si="191"/>
        <v>1</v>
      </c>
      <c r="Y161">
        <f t="shared" si="192"/>
        <v>0</v>
      </c>
      <c r="Z161">
        <f t="shared" si="193"/>
        <v>0</v>
      </c>
      <c r="AA161">
        <f t="shared" si="194"/>
        <v>0</v>
      </c>
      <c r="AB161">
        <f t="shared" si="195"/>
        <v>0</v>
      </c>
      <c r="AC161">
        <f t="shared" si="196"/>
        <v>0</v>
      </c>
      <c r="AD161">
        <f t="shared" si="197"/>
        <v>63.5</v>
      </c>
      <c r="AE161">
        <f t="shared" si="198"/>
        <v>75</v>
      </c>
      <c r="AF161">
        <f t="shared" si="199"/>
        <v>8</v>
      </c>
      <c r="AG161">
        <f t="shared" si="200"/>
        <v>-13</v>
      </c>
      <c r="AH161">
        <f t="shared" si="201"/>
        <v>-1</v>
      </c>
      <c r="AI161">
        <f t="shared" si="202"/>
        <v>0</v>
      </c>
      <c r="AJ161">
        <f t="shared" si="203"/>
        <v>0</v>
      </c>
      <c r="AK161">
        <f t="shared" si="204"/>
        <v>0</v>
      </c>
      <c r="AL161">
        <f t="shared" si="205"/>
        <v>1</v>
      </c>
      <c r="AM161">
        <f t="shared" si="206"/>
        <v>133.5</v>
      </c>
      <c r="AN161">
        <f t="shared" si="207"/>
        <v>180</v>
      </c>
      <c r="AO161" s="1">
        <f t="shared" si="208"/>
        <v>0.7416666666666667</v>
      </c>
    </row>
    <row r="162" spans="1:41" x14ac:dyDescent="0.25">
      <c r="A162" t="s">
        <v>0</v>
      </c>
      <c r="B162">
        <v>6</v>
      </c>
      <c r="C162">
        <v>241</v>
      </c>
      <c r="D162">
        <v>73</v>
      </c>
      <c r="E162">
        <v>3</v>
      </c>
      <c r="F162">
        <v>70</v>
      </c>
      <c r="G162">
        <v>7</v>
      </c>
      <c r="H162">
        <v>0</v>
      </c>
      <c r="I162">
        <v>0</v>
      </c>
      <c r="J162">
        <v>2</v>
      </c>
      <c r="K162">
        <v>125</v>
      </c>
      <c r="L162">
        <v>21</v>
      </c>
      <c r="M162">
        <v>1</v>
      </c>
      <c r="N162" t="s">
        <v>2</v>
      </c>
      <c r="O162">
        <v>1</v>
      </c>
      <c r="P162">
        <v>4</v>
      </c>
      <c r="Q162">
        <v>12</v>
      </c>
      <c r="R162">
        <v>15</v>
      </c>
      <c r="S162">
        <v>45</v>
      </c>
      <c r="T162">
        <v>52</v>
      </c>
      <c r="U162">
        <v>311.5</v>
      </c>
      <c r="V162">
        <v>6</v>
      </c>
      <c r="W162">
        <f t="shared" ref="W162:W168" si="209">AM162-U162</f>
        <v>87</v>
      </c>
      <c r="X162">
        <f t="shared" ref="X162:X168" si="210">IF(O162=1,50,IF(O162=2,25,IF(O162=3,18,IF(O162=4,16,IF(O162=5,14,IF(O162=6,12,IF(O162=7,10,IF(O162=8,9,IF(O162=10,7,IF(O162&lt;=15,6,IF(O162&lt;=20,5,IF(O162&lt;=25,4,IF(O162&lt;=30,3,IF(O162&lt;=40,2,IF(O162&lt;=50,1,IF(O162&gt;50,0))))))))))))))))</f>
        <v>50</v>
      </c>
      <c r="Y162">
        <f t="shared" ref="Y162:Y168" si="211">IF(P162=1,50,IF(P162=2,25,IF(P162=3,18,IF(P162=4,16,IF(P162=5,14,IF(P162=6,12,IF(P162=7,10,IF(P162=8,9,IF(P162=10,7,IF(P162&lt;=15,6,IF(P162&lt;=20,5,IF(P162&lt;=25,4,IF(P162&lt;=30,3,IF(P162&lt;=40,2,IF(P162&lt;=50,1,IF(P162&gt;50,0))))))))))))))))</f>
        <v>16</v>
      </c>
      <c r="Z162">
        <f t="shared" ref="Z162:Z168" si="212">IF(Q162=1,50,IF(Q162=2,25,IF(Q162=3,18,IF(Q162=4,16,IF(Q162=5,14,IF(Q162=6,12,IF(Q162=7,10,IF(Q162=8,9,IF(Q162=10,7,IF(Q162&lt;=15,6,IF(Q162&lt;=20,5,IF(Q162&lt;=25,4,IF(Q162&lt;=30,3,IF(Q162&lt;=40,2,IF(Q162&lt;=50,1,IF(Q162&gt;50,0))))))))))))))))</f>
        <v>6</v>
      </c>
      <c r="AA162">
        <f t="shared" ref="AA162:AA168" si="213">IF(R162=1,50,IF(R162=2,25,IF(R162=3,18,IF(R162=4,16,IF(R162=5,14,IF(R162=6,12,IF(R162=7,10,IF(R162=8,9,IF(R162=10,7,IF(R162&lt;=15,6,IF(R162&lt;=20,5,IF(R162&lt;=25,4,IF(R162&lt;=30,3,IF(R162&lt;=40,2,IF(R162&lt;=50,1,IF(R162&gt;50,0))))))))))))))))</f>
        <v>6</v>
      </c>
      <c r="AB162">
        <f t="shared" ref="AB162:AB168" si="214">IF(S162=1,50,IF(S162=2,25,IF(S162=3,18,IF(S162=4,16,IF(S162=5,14,IF(S162=6,12,IF(S162=7,10,IF(S162=8,9,IF(S162=10,7,IF(S162&lt;=15,6,IF(S162&lt;=20,5,IF(S162&lt;=25,4,IF(S162&lt;=30,3,IF(S162&lt;=40,2,IF(S162&lt;=50,1,IF(S162&gt;50,0))))))))))))))))</f>
        <v>1</v>
      </c>
      <c r="AC162">
        <f t="shared" ref="AC162:AC168" si="215">IF(T162=1,50,IF(T162=2,25,IF(T162=3,18,IF(T162=4,16,IF(T162=5,14,IF(T162=6,12,IF(T162=7,10,IF(T162=8,9,IF(T162=10,7,IF(T162&lt;=15,6,IF(T162&lt;=20,5,IF(T162&lt;=25,4,IF(T162&lt;=30,3,IF(T162&lt;=40,2,IF(T162&lt;=50,1,IF(T162&gt;50,0))))))))))))))))</f>
        <v>0</v>
      </c>
      <c r="AD162">
        <f t="shared" ref="AD162:AD168" si="216">C162*0.5</f>
        <v>120.5</v>
      </c>
      <c r="AE162">
        <f t="shared" ref="AE162:AE168" si="217">D162*3</f>
        <v>219</v>
      </c>
      <c r="AF162">
        <f t="shared" ref="AF162:AF168" si="218">E162*8</f>
        <v>24</v>
      </c>
      <c r="AG162">
        <f t="shared" ref="AG162:AG168" si="219">-1*(F162/2)</f>
        <v>-35</v>
      </c>
      <c r="AH162">
        <f t="shared" ref="AH162:AH168" si="220">G162*-1</f>
        <v>-7</v>
      </c>
      <c r="AI162">
        <f t="shared" ref="AI162:AI168" si="221">H162*13</f>
        <v>0</v>
      </c>
      <c r="AJ162">
        <f t="shared" ref="AJ162:AJ168" si="222">I162*5</f>
        <v>0</v>
      </c>
      <c r="AK162">
        <f t="shared" ref="AK162:AK168" si="223">J162*-1</f>
        <v>-2</v>
      </c>
      <c r="AL162">
        <f t="shared" ref="AL162:AL168" si="224">SUM(X162:AC162)</f>
        <v>79</v>
      </c>
      <c r="AM162">
        <f t="shared" ref="AM162:AM168" si="225">SUM(AD162:AL162)</f>
        <v>398.5</v>
      </c>
      <c r="AN162">
        <f t="shared" ref="AN162:AN168" si="226">SUM(C162:G162,J162)</f>
        <v>396</v>
      </c>
      <c r="AO162" s="1">
        <f t="shared" ref="AO162:AO168" si="227">AM162/AN162</f>
        <v>1.0063131313131313</v>
      </c>
    </row>
    <row r="163" spans="1:41" x14ac:dyDescent="0.25">
      <c r="A163" t="s">
        <v>4</v>
      </c>
      <c r="B163">
        <v>6</v>
      </c>
      <c r="C163">
        <v>257</v>
      </c>
      <c r="D163">
        <v>83</v>
      </c>
      <c r="E163">
        <v>2</v>
      </c>
      <c r="F163">
        <v>78</v>
      </c>
      <c r="G163">
        <v>9</v>
      </c>
      <c r="H163">
        <v>0</v>
      </c>
      <c r="I163">
        <v>0</v>
      </c>
      <c r="J163">
        <v>3</v>
      </c>
      <c r="K163">
        <v>142</v>
      </c>
      <c r="L163">
        <v>21</v>
      </c>
      <c r="M163">
        <v>1</v>
      </c>
      <c r="N163" t="s">
        <v>1</v>
      </c>
      <c r="O163">
        <v>2</v>
      </c>
      <c r="P163">
        <v>5</v>
      </c>
      <c r="Q163">
        <v>22</v>
      </c>
      <c r="R163">
        <v>27</v>
      </c>
      <c r="S163">
        <v>43</v>
      </c>
      <c r="T163">
        <v>43</v>
      </c>
      <c r="U163">
        <v>311.5</v>
      </c>
      <c r="V163">
        <v>6</v>
      </c>
      <c r="W163">
        <f t="shared" si="209"/>
        <v>79</v>
      </c>
      <c r="X163">
        <f t="shared" si="210"/>
        <v>25</v>
      </c>
      <c r="Y163">
        <f t="shared" si="211"/>
        <v>14</v>
      </c>
      <c r="Z163">
        <f t="shared" si="212"/>
        <v>4</v>
      </c>
      <c r="AA163">
        <f t="shared" si="213"/>
        <v>3</v>
      </c>
      <c r="AB163">
        <f t="shared" si="214"/>
        <v>1</v>
      </c>
      <c r="AC163">
        <f t="shared" si="215"/>
        <v>1</v>
      </c>
      <c r="AD163">
        <f t="shared" si="216"/>
        <v>128.5</v>
      </c>
      <c r="AE163">
        <f t="shared" si="217"/>
        <v>249</v>
      </c>
      <c r="AF163">
        <f t="shared" si="218"/>
        <v>16</v>
      </c>
      <c r="AG163">
        <f t="shared" si="219"/>
        <v>-39</v>
      </c>
      <c r="AH163">
        <f t="shared" si="220"/>
        <v>-9</v>
      </c>
      <c r="AI163">
        <f t="shared" si="221"/>
        <v>0</v>
      </c>
      <c r="AJ163">
        <f t="shared" si="222"/>
        <v>0</v>
      </c>
      <c r="AK163">
        <f t="shared" si="223"/>
        <v>-3</v>
      </c>
      <c r="AL163">
        <f t="shared" si="224"/>
        <v>48</v>
      </c>
      <c r="AM163">
        <f t="shared" si="225"/>
        <v>390.5</v>
      </c>
      <c r="AN163">
        <f t="shared" si="226"/>
        <v>432</v>
      </c>
      <c r="AO163" s="1">
        <f t="shared" si="227"/>
        <v>0.90393518518518523</v>
      </c>
    </row>
    <row r="164" spans="1:41" x14ac:dyDescent="0.25">
      <c r="A164" t="s">
        <v>6</v>
      </c>
      <c r="B164">
        <v>6</v>
      </c>
      <c r="C164">
        <v>288</v>
      </c>
      <c r="D164">
        <v>64</v>
      </c>
      <c r="E164">
        <v>1</v>
      </c>
      <c r="F164">
        <v>73</v>
      </c>
      <c r="G164">
        <v>4</v>
      </c>
      <c r="H164">
        <v>0</v>
      </c>
      <c r="I164">
        <v>0</v>
      </c>
      <c r="J164">
        <v>2</v>
      </c>
      <c r="K164">
        <v>130</v>
      </c>
      <c r="L164">
        <v>21</v>
      </c>
      <c r="M164">
        <v>1</v>
      </c>
      <c r="N164" t="s">
        <v>3</v>
      </c>
      <c r="O164">
        <v>5</v>
      </c>
      <c r="P164">
        <v>5</v>
      </c>
      <c r="Q164">
        <v>15</v>
      </c>
      <c r="R164">
        <v>22</v>
      </c>
      <c r="S164">
        <v>33</v>
      </c>
      <c r="T164">
        <v>50</v>
      </c>
      <c r="U164">
        <v>311.5</v>
      </c>
      <c r="V164">
        <v>6</v>
      </c>
      <c r="W164">
        <f t="shared" si="209"/>
        <v>31</v>
      </c>
      <c r="X164">
        <f t="shared" si="210"/>
        <v>14</v>
      </c>
      <c r="Y164">
        <f t="shared" si="211"/>
        <v>14</v>
      </c>
      <c r="Z164">
        <f t="shared" si="212"/>
        <v>6</v>
      </c>
      <c r="AA164">
        <f t="shared" si="213"/>
        <v>4</v>
      </c>
      <c r="AB164">
        <f t="shared" si="214"/>
        <v>2</v>
      </c>
      <c r="AC164">
        <f t="shared" si="215"/>
        <v>1</v>
      </c>
      <c r="AD164">
        <f t="shared" si="216"/>
        <v>144</v>
      </c>
      <c r="AE164">
        <f t="shared" si="217"/>
        <v>192</v>
      </c>
      <c r="AF164">
        <f t="shared" si="218"/>
        <v>8</v>
      </c>
      <c r="AG164">
        <f t="shared" si="219"/>
        <v>-36.5</v>
      </c>
      <c r="AH164">
        <f t="shared" si="220"/>
        <v>-4</v>
      </c>
      <c r="AI164">
        <f t="shared" si="221"/>
        <v>0</v>
      </c>
      <c r="AJ164">
        <f t="shared" si="222"/>
        <v>0</v>
      </c>
      <c r="AK164">
        <f t="shared" si="223"/>
        <v>-2</v>
      </c>
      <c r="AL164">
        <f t="shared" si="224"/>
        <v>41</v>
      </c>
      <c r="AM164">
        <f t="shared" si="225"/>
        <v>342.5</v>
      </c>
      <c r="AN164">
        <f t="shared" si="226"/>
        <v>432</v>
      </c>
      <c r="AO164" s="1">
        <f t="shared" si="227"/>
        <v>0.79282407407407407</v>
      </c>
    </row>
    <row r="165" spans="1:41" x14ac:dyDescent="0.25">
      <c r="A165" t="s">
        <v>1</v>
      </c>
      <c r="B165">
        <v>6</v>
      </c>
      <c r="C165">
        <v>231</v>
      </c>
      <c r="D165">
        <v>72</v>
      </c>
      <c r="E165">
        <v>2</v>
      </c>
      <c r="F165">
        <v>79</v>
      </c>
      <c r="G165">
        <v>11</v>
      </c>
      <c r="H165">
        <v>0</v>
      </c>
      <c r="I165">
        <v>0</v>
      </c>
      <c r="J165">
        <v>1</v>
      </c>
      <c r="K165">
        <v>171</v>
      </c>
      <c r="L165">
        <v>21</v>
      </c>
      <c r="M165">
        <v>0</v>
      </c>
      <c r="N165" t="s">
        <v>4</v>
      </c>
      <c r="O165">
        <v>8</v>
      </c>
      <c r="P165">
        <v>20</v>
      </c>
      <c r="Q165">
        <v>20</v>
      </c>
      <c r="R165">
        <v>22</v>
      </c>
      <c r="S165">
        <v>49</v>
      </c>
      <c r="T165">
        <v>52</v>
      </c>
      <c r="U165">
        <v>311.5</v>
      </c>
      <c r="V165">
        <v>6</v>
      </c>
      <c r="W165">
        <f t="shared" si="209"/>
        <v>8.5</v>
      </c>
      <c r="X165">
        <f t="shared" si="210"/>
        <v>9</v>
      </c>
      <c r="Y165">
        <f t="shared" si="211"/>
        <v>5</v>
      </c>
      <c r="Z165">
        <f t="shared" si="212"/>
        <v>5</v>
      </c>
      <c r="AA165">
        <f t="shared" si="213"/>
        <v>4</v>
      </c>
      <c r="AB165">
        <f t="shared" si="214"/>
        <v>1</v>
      </c>
      <c r="AC165">
        <f t="shared" si="215"/>
        <v>0</v>
      </c>
      <c r="AD165">
        <f t="shared" si="216"/>
        <v>115.5</v>
      </c>
      <c r="AE165">
        <f t="shared" si="217"/>
        <v>216</v>
      </c>
      <c r="AF165">
        <f t="shared" si="218"/>
        <v>16</v>
      </c>
      <c r="AG165">
        <f t="shared" si="219"/>
        <v>-39.5</v>
      </c>
      <c r="AH165">
        <f t="shared" si="220"/>
        <v>-11</v>
      </c>
      <c r="AI165">
        <f t="shared" si="221"/>
        <v>0</v>
      </c>
      <c r="AJ165">
        <f t="shared" si="222"/>
        <v>0</v>
      </c>
      <c r="AK165">
        <f t="shared" si="223"/>
        <v>-1</v>
      </c>
      <c r="AL165">
        <f t="shared" si="224"/>
        <v>24</v>
      </c>
      <c r="AM165">
        <f t="shared" si="225"/>
        <v>320</v>
      </c>
      <c r="AN165">
        <f t="shared" si="226"/>
        <v>396</v>
      </c>
      <c r="AO165" s="1">
        <f t="shared" si="227"/>
        <v>0.80808080808080807</v>
      </c>
    </row>
    <row r="166" spans="1:41" x14ac:dyDescent="0.25">
      <c r="A166" t="s">
        <v>3</v>
      </c>
      <c r="B166">
        <v>6</v>
      </c>
      <c r="C166">
        <v>250</v>
      </c>
      <c r="D166">
        <v>60</v>
      </c>
      <c r="E166">
        <v>3</v>
      </c>
      <c r="F166">
        <v>74</v>
      </c>
      <c r="G166">
        <v>8</v>
      </c>
      <c r="H166">
        <v>0</v>
      </c>
      <c r="I166">
        <v>0</v>
      </c>
      <c r="J166">
        <v>1</v>
      </c>
      <c r="K166">
        <v>182</v>
      </c>
      <c r="L166">
        <v>21</v>
      </c>
      <c r="M166">
        <v>0</v>
      </c>
      <c r="N166" t="s">
        <v>6</v>
      </c>
      <c r="O166">
        <v>8</v>
      </c>
      <c r="P166">
        <v>15</v>
      </c>
      <c r="Q166">
        <v>33</v>
      </c>
      <c r="R166">
        <v>33</v>
      </c>
      <c r="S166">
        <v>41</v>
      </c>
      <c r="T166">
        <v>52</v>
      </c>
      <c r="U166">
        <v>311.5</v>
      </c>
      <c r="V166">
        <v>6</v>
      </c>
      <c r="W166">
        <f t="shared" si="209"/>
        <v>-8.5</v>
      </c>
      <c r="X166">
        <f t="shared" si="210"/>
        <v>9</v>
      </c>
      <c r="Y166">
        <f t="shared" si="211"/>
        <v>6</v>
      </c>
      <c r="Z166">
        <f t="shared" si="212"/>
        <v>2</v>
      </c>
      <c r="AA166">
        <f t="shared" si="213"/>
        <v>2</v>
      </c>
      <c r="AB166">
        <f t="shared" si="214"/>
        <v>1</v>
      </c>
      <c r="AC166">
        <f t="shared" si="215"/>
        <v>0</v>
      </c>
      <c r="AD166">
        <f t="shared" si="216"/>
        <v>125</v>
      </c>
      <c r="AE166">
        <f t="shared" si="217"/>
        <v>180</v>
      </c>
      <c r="AF166">
        <f t="shared" si="218"/>
        <v>24</v>
      </c>
      <c r="AG166">
        <f t="shared" si="219"/>
        <v>-37</v>
      </c>
      <c r="AH166">
        <f t="shared" si="220"/>
        <v>-8</v>
      </c>
      <c r="AI166">
        <f t="shared" si="221"/>
        <v>0</v>
      </c>
      <c r="AJ166">
        <f t="shared" si="222"/>
        <v>0</v>
      </c>
      <c r="AK166">
        <f t="shared" si="223"/>
        <v>-1</v>
      </c>
      <c r="AL166">
        <f t="shared" si="224"/>
        <v>20</v>
      </c>
      <c r="AM166">
        <f t="shared" si="225"/>
        <v>303</v>
      </c>
      <c r="AN166">
        <f t="shared" si="226"/>
        <v>396</v>
      </c>
      <c r="AO166" s="1">
        <f t="shared" si="227"/>
        <v>0.76515151515151514</v>
      </c>
    </row>
    <row r="167" spans="1:41" x14ac:dyDescent="0.25">
      <c r="A167" t="s">
        <v>5</v>
      </c>
      <c r="B167">
        <v>6</v>
      </c>
      <c r="C167">
        <v>228</v>
      </c>
      <c r="D167">
        <v>54</v>
      </c>
      <c r="E167">
        <v>1</v>
      </c>
      <c r="F167">
        <v>65</v>
      </c>
      <c r="G167">
        <v>10</v>
      </c>
      <c r="H167">
        <v>0</v>
      </c>
      <c r="I167">
        <v>0</v>
      </c>
      <c r="J167">
        <v>2</v>
      </c>
      <c r="K167">
        <v>206</v>
      </c>
      <c r="L167">
        <v>21</v>
      </c>
      <c r="M167">
        <v>1</v>
      </c>
      <c r="N167" t="s">
        <v>7</v>
      </c>
      <c r="O167">
        <v>8</v>
      </c>
      <c r="P167">
        <v>22</v>
      </c>
      <c r="Q167">
        <v>27</v>
      </c>
      <c r="R167">
        <v>45</v>
      </c>
      <c r="S167">
        <v>52</v>
      </c>
      <c r="T167">
        <v>52</v>
      </c>
      <c r="U167">
        <v>311.5</v>
      </c>
      <c r="V167">
        <v>6</v>
      </c>
      <c r="W167">
        <f t="shared" si="209"/>
        <v>-55</v>
      </c>
      <c r="X167">
        <f t="shared" si="210"/>
        <v>9</v>
      </c>
      <c r="Y167">
        <f t="shared" si="211"/>
        <v>4</v>
      </c>
      <c r="Z167">
        <f t="shared" si="212"/>
        <v>3</v>
      </c>
      <c r="AA167">
        <f t="shared" si="213"/>
        <v>1</v>
      </c>
      <c r="AB167">
        <f t="shared" si="214"/>
        <v>0</v>
      </c>
      <c r="AC167">
        <f t="shared" si="215"/>
        <v>0</v>
      </c>
      <c r="AD167">
        <f t="shared" si="216"/>
        <v>114</v>
      </c>
      <c r="AE167">
        <f t="shared" si="217"/>
        <v>162</v>
      </c>
      <c r="AF167">
        <f t="shared" si="218"/>
        <v>8</v>
      </c>
      <c r="AG167">
        <f t="shared" si="219"/>
        <v>-32.5</v>
      </c>
      <c r="AH167">
        <f t="shared" si="220"/>
        <v>-10</v>
      </c>
      <c r="AI167">
        <f t="shared" si="221"/>
        <v>0</v>
      </c>
      <c r="AJ167">
        <f t="shared" si="222"/>
        <v>0</v>
      </c>
      <c r="AK167">
        <f t="shared" si="223"/>
        <v>-2</v>
      </c>
      <c r="AL167">
        <f t="shared" si="224"/>
        <v>17</v>
      </c>
      <c r="AM167">
        <f t="shared" si="225"/>
        <v>256.5</v>
      </c>
      <c r="AN167">
        <f t="shared" si="226"/>
        <v>360</v>
      </c>
      <c r="AO167" s="1">
        <f t="shared" si="227"/>
        <v>0.71250000000000002</v>
      </c>
    </row>
    <row r="168" spans="1:41" x14ac:dyDescent="0.25">
      <c r="A168" t="s">
        <v>7</v>
      </c>
      <c r="B168">
        <v>6</v>
      </c>
      <c r="C168">
        <v>189</v>
      </c>
      <c r="D168">
        <v>61</v>
      </c>
      <c r="E168">
        <v>0</v>
      </c>
      <c r="F168">
        <v>61</v>
      </c>
      <c r="G168">
        <v>11</v>
      </c>
      <c r="H168">
        <v>0</v>
      </c>
      <c r="I168">
        <v>0</v>
      </c>
      <c r="J168">
        <v>2</v>
      </c>
      <c r="K168">
        <v>191</v>
      </c>
      <c r="L168">
        <v>21</v>
      </c>
      <c r="M168">
        <v>0</v>
      </c>
      <c r="N168" t="s">
        <v>5</v>
      </c>
      <c r="O168">
        <v>8</v>
      </c>
      <c r="P168">
        <v>12</v>
      </c>
      <c r="Q168">
        <v>15</v>
      </c>
      <c r="R168">
        <v>52</v>
      </c>
      <c r="S168">
        <v>52</v>
      </c>
      <c r="T168">
        <v>52</v>
      </c>
      <c r="U168">
        <v>311.5</v>
      </c>
      <c r="V168">
        <v>6</v>
      </c>
      <c r="W168">
        <f t="shared" si="209"/>
        <v>-56.5</v>
      </c>
      <c r="X168">
        <f t="shared" si="210"/>
        <v>9</v>
      </c>
      <c r="Y168">
        <f t="shared" si="211"/>
        <v>6</v>
      </c>
      <c r="Z168">
        <f t="shared" si="212"/>
        <v>6</v>
      </c>
      <c r="AA168">
        <f t="shared" si="213"/>
        <v>0</v>
      </c>
      <c r="AB168">
        <f t="shared" si="214"/>
        <v>0</v>
      </c>
      <c r="AC168">
        <f t="shared" si="215"/>
        <v>0</v>
      </c>
      <c r="AD168">
        <f t="shared" si="216"/>
        <v>94.5</v>
      </c>
      <c r="AE168">
        <f t="shared" si="217"/>
        <v>183</v>
      </c>
      <c r="AF168">
        <f t="shared" si="218"/>
        <v>0</v>
      </c>
      <c r="AG168">
        <f t="shared" si="219"/>
        <v>-30.5</v>
      </c>
      <c r="AH168">
        <f t="shared" si="220"/>
        <v>-11</v>
      </c>
      <c r="AI168">
        <f t="shared" si="221"/>
        <v>0</v>
      </c>
      <c r="AJ168">
        <f t="shared" si="222"/>
        <v>0</v>
      </c>
      <c r="AK168">
        <f t="shared" si="223"/>
        <v>-2</v>
      </c>
      <c r="AL168">
        <f t="shared" si="224"/>
        <v>21</v>
      </c>
      <c r="AM168">
        <f t="shared" si="225"/>
        <v>255</v>
      </c>
      <c r="AN168">
        <f t="shared" si="226"/>
        <v>324</v>
      </c>
      <c r="AO168" s="1">
        <f t="shared" si="227"/>
        <v>0.78703703703703709</v>
      </c>
    </row>
    <row r="169" spans="1:41" x14ac:dyDescent="0.25">
      <c r="A169" t="s">
        <v>2</v>
      </c>
      <c r="B169">
        <v>6</v>
      </c>
      <c r="C169">
        <v>168</v>
      </c>
      <c r="D169">
        <v>46</v>
      </c>
      <c r="E169">
        <v>1</v>
      </c>
      <c r="F169">
        <v>60</v>
      </c>
      <c r="G169">
        <v>11</v>
      </c>
      <c r="H169">
        <v>0</v>
      </c>
      <c r="I169">
        <v>0</v>
      </c>
      <c r="J169">
        <v>2</v>
      </c>
      <c r="K169">
        <v>268</v>
      </c>
      <c r="L169">
        <v>21</v>
      </c>
      <c r="M169">
        <v>0</v>
      </c>
      <c r="N169" t="s">
        <v>0</v>
      </c>
      <c r="O169">
        <v>15</v>
      </c>
      <c r="P169">
        <v>45</v>
      </c>
      <c r="Q169">
        <v>52</v>
      </c>
      <c r="R169">
        <v>52</v>
      </c>
      <c r="S169">
        <v>52</v>
      </c>
      <c r="T169">
        <v>52</v>
      </c>
      <c r="U169">
        <v>311.5</v>
      </c>
      <c r="V169">
        <v>6</v>
      </c>
      <c r="W169">
        <f t="shared" ref="W169:W177" si="228">AM169-U169</f>
        <v>-117.5</v>
      </c>
      <c r="X169">
        <f t="shared" ref="X169:X177" si="229">IF(O169=1,50,IF(O169=2,25,IF(O169=3,18,IF(O169=4,16,IF(O169=5,14,IF(O169=6,12,IF(O169=7,10,IF(O169=8,9,IF(O169=10,7,IF(O169&lt;=15,6,IF(O169&lt;=20,5,IF(O169&lt;=25,4,IF(O169&lt;=30,3,IF(O169&lt;=40,2,IF(O169&lt;=50,1,IF(O169&gt;50,0))))))))))))))))</f>
        <v>6</v>
      </c>
      <c r="Y169">
        <f t="shared" ref="Y169:Y177" si="230">IF(P169=1,50,IF(P169=2,25,IF(P169=3,18,IF(P169=4,16,IF(P169=5,14,IF(P169=6,12,IF(P169=7,10,IF(P169=8,9,IF(P169=10,7,IF(P169&lt;=15,6,IF(P169&lt;=20,5,IF(P169&lt;=25,4,IF(P169&lt;=30,3,IF(P169&lt;=40,2,IF(P169&lt;=50,1,IF(P169&gt;50,0))))))))))))))))</f>
        <v>1</v>
      </c>
      <c r="Z169">
        <f t="shared" ref="Z169:Z177" si="231">IF(Q169=1,50,IF(Q169=2,25,IF(Q169=3,18,IF(Q169=4,16,IF(Q169=5,14,IF(Q169=6,12,IF(Q169=7,10,IF(Q169=8,9,IF(Q169=10,7,IF(Q169&lt;=15,6,IF(Q169&lt;=20,5,IF(Q169&lt;=25,4,IF(Q169&lt;=30,3,IF(Q169&lt;=40,2,IF(Q169&lt;=50,1,IF(Q169&gt;50,0))))))))))))))))</f>
        <v>0</v>
      </c>
      <c r="AA169">
        <f t="shared" ref="AA169:AA177" si="232">IF(R169=1,50,IF(R169=2,25,IF(R169=3,18,IF(R169=4,16,IF(R169=5,14,IF(R169=6,12,IF(R169=7,10,IF(R169=8,9,IF(R169=10,7,IF(R169&lt;=15,6,IF(R169&lt;=20,5,IF(R169&lt;=25,4,IF(R169&lt;=30,3,IF(R169&lt;=40,2,IF(R169&lt;=50,1,IF(R169&gt;50,0))))))))))))))))</f>
        <v>0</v>
      </c>
      <c r="AB169">
        <f t="shared" ref="AB169:AB177" si="233">IF(S169=1,50,IF(S169=2,25,IF(S169=3,18,IF(S169=4,16,IF(S169=5,14,IF(S169=6,12,IF(S169=7,10,IF(S169=8,9,IF(S169=10,7,IF(S169&lt;=15,6,IF(S169&lt;=20,5,IF(S169&lt;=25,4,IF(S169&lt;=30,3,IF(S169&lt;=40,2,IF(S169&lt;=50,1,IF(S169&gt;50,0))))))))))))))))</f>
        <v>0</v>
      </c>
      <c r="AC169">
        <f t="shared" ref="AC169:AC177" si="234">IF(T169=1,50,IF(T169=2,25,IF(T169=3,18,IF(T169=4,16,IF(T169=5,14,IF(T169=6,12,IF(T169=7,10,IF(T169=8,9,IF(T169=10,7,IF(T169&lt;=15,6,IF(T169&lt;=20,5,IF(T169&lt;=25,4,IF(T169&lt;=30,3,IF(T169&lt;=40,2,IF(T169&lt;=50,1,IF(T169&gt;50,0))))))))))))))))</f>
        <v>0</v>
      </c>
      <c r="AD169">
        <f t="shared" ref="AD169:AD177" si="235">C169*0.5</f>
        <v>84</v>
      </c>
      <c r="AE169">
        <f t="shared" ref="AE169:AE177" si="236">D169*3</f>
        <v>138</v>
      </c>
      <c r="AF169">
        <f t="shared" ref="AF169:AF177" si="237">E169*8</f>
        <v>8</v>
      </c>
      <c r="AG169">
        <f t="shared" ref="AG169:AG177" si="238">-1*(F169/2)</f>
        <v>-30</v>
      </c>
      <c r="AH169">
        <f t="shared" ref="AH169:AH177" si="239">G169*-1</f>
        <v>-11</v>
      </c>
      <c r="AI169">
        <f t="shared" ref="AI169:AI177" si="240">H169*13</f>
        <v>0</v>
      </c>
      <c r="AJ169">
        <f t="shared" ref="AJ169:AJ177" si="241">I169*5</f>
        <v>0</v>
      </c>
      <c r="AK169">
        <f t="shared" ref="AK169:AK177" si="242">J169*-1</f>
        <v>-2</v>
      </c>
      <c r="AL169">
        <f t="shared" ref="AL169:AL177" si="243">SUM(X169:AC169)</f>
        <v>7</v>
      </c>
      <c r="AM169">
        <f t="shared" ref="AM169:AM177" si="244">SUM(AD169:AL169)</f>
        <v>194</v>
      </c>
      <c r="AN169">
        <f t="shared" ref="AN169:AN177" si="245">SUM(C169:G169,J169)</f>
        <v>288</v>
      </c>
      <c r="AO169" s="1">
        <f t="shared" ref="AO169:AO177" si="246">AM169/AN169</f>
        <v>0.67361111111111116</v>
      </c>
    </row>
    <row r="170" spans="1:41" x14ac:dyDescent="0.25">
      <c r="A170" t="s">
        <v>1</v>
      </c>
      <c r="B170">
        <v>6</v>
      </c>
      <c r="C170">
        <v>271</v>
      </c>
      <c r="D170">
        <v>58</v>
      </c>
      <c r="E170">
        <v>2</v>
      </c>
      <c r="F170">
        <v>58</v>
      </c>
      <c r="G170">
        <v>7</v>
      </c>
      <c r="H170">
        <v>0</v>
      </c>
      <c r="I170">
        <v>0</v>
      </c>
      <c r="J170">
        <v>0</v>
      </c>
      <c r="K170">
        <v>127</v>
      </c>
      <c r="L170">
        <v>22</v>
      </c>
      <c r="M170">
        <v>1</v>
      </c>
      <c r="N170" t="s">
        <v>2</v>
      </c>
      <c r="O170">
        <v>3</v>
      </c>
      <c r="P170">
        <v>6</v>
      </c>
      <c r="Q170">
        <v>9</v>
      </c>
      <c r="R170">
        <v>16</v>
      </c>
      <c r="S170">
        <v>21</v>
      </c>
      <c r="T170">
        <v>72</v>
      </c>
      <c r="U170">
        <v>271</v>
      </c>
      <c r="V170">
        <v>5</v>
      </c>
      <c r="W170">
        <f t="shared" si="228"/>
        <v>63.5</v>
      </c>
      <c r="X170">
        <f t="shared" si="229"/>
        <v>18</v>
      </c>
      <c r="Y170">
        <f t="shared" si="230"/>
        <v>12</v>
      </c>
      <c r="Z170">
        <f t="shared" si="231"/>
        <v>6</v>
      </c>
      <c r="AA170">
        <f t="shared" si="232"/>
        <v>5</v>
      </c>
      <c r="AB170">
        <f t="shared" si="233"/>
        <v>4</v>
      </c>
      <c r="AC170">
        <f t="shared" si="234"/>
        <v>0</v>
      </c>
      <c r="AD170">
        <f t="shared" si="235"/>
        <v>135.5</v>
      </c>
      <c r="AE170">
        <f t="shared" si="236"/>
        <v>174</v>
      </c>
      <c r="AF170">
        <f t="shared" si="237"/>
        <v>16</v>
      </c>
      <c r="AG170">
        <f t="shared" si="238"/>
        <v>-29</v>
      </c>
      <c r="AH170">
        <f t="shared" si="239"/>
        <v>-7</v>
      </c>
      <c r="AI170">
        <f t="shared" si="240"/>
        <v>0</v>
      </c>
      <c r="AJ170">
        <f t="shared" si="241"/>
        <v>0</v>
      </c>
      <c r="AK170">
        <f t="shared" si="242"/>
        <v>0</v>
      </c>
      <c r="AL170">
        <f t="shared" si="243"/>
        <v>45</v>
      </c>
      <c r="AM170">
        <f t="shared" si="244"/>
        <v>334.5</v>
      </c>
      <c r="AN170">
        <f t="shared" si="245"/>
        <v>396</v>
      </c>
      <c r="AO170" s="1">
        <f t="shared" si="246"/>
        <v>0.84469696969696972</v>
      </c>
    </row>
    <row r="171" spans="1:41" x14ac:dyDescent="0.25">
      <c r="A171" t="s">
        <v>4</v>
      </c>
      <c r="B171">
        <v>6</v>
      </c>
      <c r="C171">
        <v>240</v>
      </c>
      <c r="D171">
        <v>67</v>
      </c>
      <c r="E171">
        <v>0</v>
      </c>
      <c r="F171">
        <v>81</v>
      </c>
      <c r="G171">
        <v>7</v>
      </c>
      <c r="H171">
        <v>0</v>
      </c>
      <c r="I171">
        <v>0</v>
      </c>
      <c r="J171">
        <v>1</v>
      </c>
      <c r="K171">
        <v>209</v>
      </c>
      <c r="L171">
        <v>22</v>
      </c>
      <c r="M171">
        <v>1</v>
      </c>
      <c r="N171" t="s">
        <v>7</v>
      </c>
      <c r="O171">
        <v>1</v>
      </c>
      <c r="P171">
        <v>14</v>
      </c>
      <c r="Q171">
        <v>26</v>
      </c>
      <c r="R171">
        <v>32</v>
      </c>
      <c r="S171">
        <v>64</v>
      </c>
      <c r="T171">
        <v>72</v>
      </c>
      <c r="U171">
        <v>271</v>
      </c>
      <c r="V171">
        <v>5</v>
      </c>
      <c r="W171">
        <f t="shared" si="228"/>
        <v>62.5</v>
      </c>
      <c r="X171">
        <f t="shared" si="229"/>
        <v>50</v>
      </c>
      <c r="Y171">
        <f t="shared" si="230"/>
        <v>6</v>
      </c>
      <c r="Z171">
        <f t="shared" si="231"/>
        <v>3</v>
      </c>
      <c r="AA171">
        <f t="shared" si="232"/>
        <v>2</v>
      </c>
      <c r="AB171">
        <f t="shared" si="233"/>
        <v>0</v>
      </c>
      <c r="AC171">
        <f t="shared" si="234"/>
        <v>0</v>
      </c>
      <c r="AD171">
        <f t="shared" si="235"/>
        <v>120</v>
      </c>
      <c r="AE171">
        <f t="shared" si="236"/>
        <v>201</v>
      </c>
      <c r="AF171">
        <f t="shared" si="237"/>
        <v>0</v>
      </c>
      <c r="AG171">
        <f t="shared" si="238"/>
        <v>-40.5</v>
      </c>
      <c r="AH171">
        <f t="shared" si="239"/>
        <v>-7</v>
      </c>
      <c r="AI171">
        <f t="shared" si="240"/>
        <v>0</v>
      </c>
      <c r="AJ171">
        <f t="shared" si="241"/>
        <v>0</v>
      </c>
      <c r="AK171">
        <f t="shared" si="242"/>
        <v>-1</v>
      </c>
      <c r="AL171">
        <f t="shared" si="243"/>
        <v>61</v>
      </c>
      <c r="AM171">
        <f t="shared" si="244"/>
        <v>333.5</v>
      </c>
      <c r="AN171">
        <f t="shared" si="245"/>
        <v>396</v>
      </c>
      <c r="AO171" s="1">
        <f t="shared" si="246"/>
        <v>0.84217171717171713</v>
      </c>
    </row>
    <row r="172" spans="1:41" x14ac:dyDescent="0.25">
      <c r="A172" t="s">
        <v>3</v>
      </c>
      <c r="B172">
        <v>6</v>
      </c>
      <c r="C172">
        <v>249</v>
      </c>
      <c r="D172">
        <v>67</v>
      </c>
      <c r="E172">
        <v>0</v>
      </c>
      <c r="F172">
        <v>71</v>
      </c>
      <c r="G172">
        <v>9</v>
      </c>
      <c r="H172">
        <v>0</v>
      </c>
      <c r="I172">
        <v>0</v>
      </c>
      <c r="J172">
        <v>0</v>
      </c>
      <c r="K172">
        <v>164</v>
      </c>
      <c r="L172">
        <v>22</v>
      </c>
      <c r="M172">
        <v>1</v>
      </c>
      <c r="N172" t="s">
        <v>0</v>
      </c>
      <c r="O172">
        <v>7</v>
      </c>
      <c r="P172">
        <v>9</v>
      </c>
      <c r="Q172">
        <v>14</v>
      </c>
      <c r="R172">
        <v>21</v>
      </c>
      <c r="S172">
        <v>41</v>
      </c>
      <c r="T172">
        <v>72</v>
      </c>
      <c r="U172">
        <v>271</v>
      </c>
      <c r="V172">
        <v>5</v>
      </c>
      <c r="W172">
        <f t="shared" si="228"/>
        <v>37</v>
      </c>
      <c r="X172">
        <f t="shared" si="229"/>
        <v>10</v>
      </c>
      <c r="Y172">
        <f t="shared" si="230"/>
        <v>6</v>
      </c>
      <c r="Z172">
        <f t="shared" si="231"/>
        <v>6</v>
      </c>
      <c r="AA172">
        <f t="shared" si="232"/>
        <v>4</v>
      </c>
      <c r="AB172">
        <f t="shared" si="233"/>
        <v>1</v>
      </c>
      <c r="AC172">
        <f t="shared" si="234"/>
        <v>0</v>
      </c>
      <c r="AD172">
        <f t="shared" si="235"/>
        <v>124.5</v>
      </c>
      <c r="AE172">
        <f t="shared" si="236"/>
        <v>201</v>
      </c>
      <c r="AF172">
        <f t="shared" si="237"/>
        <v>0</v>
      </c>
      <c r="AG172">
        <f t="shared" si="238"/>
        <v>-35.5</v>
      </c>
      <c r="AH172">
        <f t="shared" si="239"/>
        <v>-9</v>
      </c>
      <c r="AI172">
        <f t="shared" si="240"/>
        <v>0</v>
      </c>
      <c r="AJ172">
        <f t="shared" si="241"/>
        <v>0</v>
      </c>
      <c r="AK172">
        <f t="shared" si="242"/>
        <v>0</v>
      </c>
      <c r="AL172">
        <f t="shared" si="243"/>
        <v>27</v>
      </c>
      <c r="AM172">
        <f t="shared" si="244"/>
        <v>308</v>
      </c>
      <c r="AN172">
        <f t="shared" si="245"/>
        <v>396</v>
      </c>
      <c r="AO172" s="1">
        <f t="shared" si="246"/>
        <v>0.77777777777777779</v>
      </c>
    </row>
    <row r="173" spans="1:41" x14ac:dyDescent="0.25">
      <c r="A173" t="s">
        <v>7</v>
      </c>
      <c r="B173">
        <v>6</v>
      </c>
      <c r="C173">
        <v>197</v>
      </c>
      <c r="D173">
        <v>52</v>
      </c>
      <c r="E173">
        <v>2</v>
      </c>
      <c r="F173">
        <v>65</v>
      </c>
      <c r="G173">
        <v>5</v>
      </c>
      <c r="H173">
        <v>0</v>
      </c>
      <c r="I173">
        <v>0</v>
      </c>
      <c r="J173">
        <v>3</v>
      </c>
      <c r="K173">
        <v>253</v>
      </c>
      <c r="L173">
        <v>22</v>
      </c>
      <c r="M173">
        <v>0</v>
      </c>
      <c r="N173" t="s">
        <v>4</v>
      </c>
      <c r="O173">
        <v>2</v>
      </c>
      <c r="P173">
        <v>3</v>
      </c>
      <c r="Q173">
        <v>32</v>
      </c>
      <c r="R173">
        <v>72</v>
      </c>
      <c r="S173">
        <v>72</v>
      </c>
      <c r="T173">
        <v>72</v>
      </c>
      <c r="U173">
        <v>271</v>
      </c>
      <c r="V173">
        <v>3</v>
      </c>
      <c r="W173">
        <f t="shared" si="228"/>
        <v>4</v>
      </c>
      <c r="X173">
        <f t="shared" si="229"/>
        <v>25</v>
      </c>
      <c r="Y173">
        <f t="shared" si="230"/>
        <v>18</v>
      </c>
      <c r="Z173">
        <f t="shared" si="231"/>
        <v>2</v>
      </c>
      <c r="AA173">
        <f t="shared" si="232"/>
        <v>0</v>
      </c>
      <c r="AB173">
        <f t="shared" si="233"/>
        <v>0</v>
      </c>
      <c r="AC173">
        <f t="shared" si="234"/>
        <v>0</v>
      </c>
      <c r="AD173">
        <f t="shared" si="235"/>
        <v>98.5</v>
      </c>
      <c r="AE173">
        <f t="shared" si="236"/>
        <v>156</v>
      </c>
      <c r="AF173">
        <f t="shared" si="237"/>
        <v>16</v>
      </c>
      <c r="AG173">
        <f t="shared" si="238"/>
        <v>-32.5</v>
      </c>
      <c r="AH173">
        <f t="shared" si="239"/>
        <v>-5</v>
      </c>
      <c r="AI173">
        <f t="shared" si="240"/>
        <v>0</v>
      </c>
      <c r="AJ173">
        <f t="shared" si="241"/>
        <v>0</v>
      </c>
      <c r="AK173">
        <f t="shared" si="242"/>
        <v>-3</v>
      </c>
      <c r="AL173">
        <f t="shared" si="243"/>
        <v>45</v>
      </c>
      <c r="AM173">
        <f t="shared" si="244"/>
        <v>275</v>
      </c>
      <c r="AN173">
        <f t="shared" si="245"/>
        <v>324</v>
      </c>
      <c r="AO173" s="1">
        <f t="shared" si="246"/>
        <v>0.84876543209876543</v>
      </c>
    </row>
    <row r="174" spans="1:41" x14ac:dyDescent="0.25">
      <c r="A174" t="s">
        <v>6</v>
      </c>
      <c r="B174">
        <v>6</v>
      </c>
      <c r="C174">
        <v>254</v>
      </c>
      <c r="D174">
        <v>52</v>
      </c>
      <c r="E174">
        <v>2</v>
      </c>
      <c r="F174">
        <v>77</v>
      </c>
      <c r="G174">
        <v>6</v>
      </c>
      <c r="H174">
        <v>0</v>
      </c>
      <c r="I174">
        <v>1</v>
      </c>
      <c r="J174">
        <v>5</v>
      </c>
      <c r="K174">
        <v>255</v>
      </c>
      <c r="L174">
        <v>22</v>
      </c>
      <c r="M174">
        <v>1</v>
      </c>
      <c r="N174" t="s">
        <v>5</v>
      </c>
      <c r="O174">
        <v>12</v>
      </c>
      <c r="P174">
        <v>16</v>
      </c>
      <c r="Q174">
        <v>32</v>
      </c>
      <c r="R174">
        <v>56</v>
      </c>
      <c r="S174">
        <v>67</v>
      </c>
      <c r="T174">
        <v>72</v>
      </c>
      <c r="U174">
        <v>271</v>
      </c>
      <c r="V174">
        <v>5</v>
      </c>
      <c r="W174">
        <f t="shared" si="228"/>
        <v>-3.5</v>
      </c>
      <c r="X174">
        <f t="shared" si="229"/>
        <v>6</v>
      </c>
      <c r="Y174">
        <f t="shared" si="230"/>
        <v>5</v>
      </c>
      <c r="Z174">
        <f t="shared" si="231"/>
        <v>2</v>
      </c>
      <c r="AA174">
        <f t="shared" si="232"/>
        <v>0</v>
      </c>
      <c r="AB174">
        <f t="shared" si="233"/>
        <v>0</v>
      </c>
      <c r="AC174">
        <f t="shared" si="234"/>
        <v>0</v>
      </c>
      <c r="AD174">
        <f t="shared" si="235"/>
        <v>127</v>
      </c>
      <c r="AE174">
        <f t="shared" si="236"/>
        <v>156</v>
      </c>
      <c r="AF174">
        <f t="shared" si="237"/>
        <v>16</v>
      </c>
      <c r="AG174">
        <f t="shared" si="238"/>
        <v>-38.5</v>
      </c>
      <c r="AH174">
        <f t="shared" si="239"/>
        <v>-6</v>
      </c>
      <c r="AI174">
        <f t="shared" si="240"/>
        <v>0</v>
      </c>
      <c r="AJ174">
        <f t="shared" si="241"/>
        <v>5</v>
      </c>
      <c r="AK174">
        <f t="shared" si="242"/>
        <v>-5</v>
      </c>
      <c r="AL174">
        <f t="shared" si="243"/>
        <v>13</v>
      </c>
      <c r="AM174">
        <f t="shared" si="244"/>
        <v>267.5</v>
      </c>
      <c r="AN174">
        <f t="shared" si="245"/>
        <v>396</v>
      </c>
      <c r="AO174" s="1">
        <f t="shared" si="246"/>
        <v>0.6755050505050505</v>
      </c>
    </row>
    <row r="175" spans="1:41" x14ac:dyDescent="0.25">
      <c r="A175" t="s">
        <v>5</v>
      </c>
      <c r="B175">
        <v>6</v>
      </c>
      <c r="C175">
        <v>223</v>
      </c>
      <c r="D175">
        <v>51</v>
      </c>
      <c r="E175">
        <v>2</v>
      </c>
      <c r="F175">
        <v>79</v>
      </c>
      <c r="G175">
        <v>5</v>
      </c>
      <c r="H175">
        <v>0</v>
      </c>
      <c r="I175">
        <v>0</v>
      </c>
      <c r="J175">
        <v>0</v>
      </c>
      <c r="K175">
        <v>235</v>
      </c>
      <c r="L175">
        <v>22</v>
      </c>
      <c r="M175">
        <v>0</v>
      </c>
      <c r="N175" t="s">
        <v>6</v>
      </c>
      <c r="O175">
        <v>7</v>
      </c>
      <c r="P175">
        <v>26</v>
      </c>
      <c r="Q175">
        <v>26</v>
      </c>
      <c r="R175">
        <v>32</v>
      </c>
      <c r="S175">
        <v>72</v>
      </c>
      <c r="T175">
        <v>72</v>
      </c>
      <c r="U175">
        <v>271</v>
      </c>
      <c r="V175">
        <v>4</v>
      </c>
      <c r="W175">
        <f t="shared" si="228"/>
        <v>-17</v>
      </c>
      <c r="X175">
        <f t="shared" si="229"/>
        <v>10</v>
      </c>
      <c r="Y175">
        <f t="shared" si="230"/>
        <v>3</v>
      </c>
      <c r="Z175">
        <f t="shared" si="231"/>
        <v>3</v>
      </c>
      <c r="AA175">
        <f t="shared" si="232"/>
        <v>2</v>
      </c>
      <c r="AB175">
        <f t="shared" si="233"/>
        <v>0</v>
      </c>
      <c r="AC175">
        <f t="shared" si="234"/>
        <v>0</v>
      </c>
      <c r="AD175">
        <f t="shared" si="235"/>
        <v>111.5</v>
      </c>
      <c r="AE175">
        <f t="shared" si="236"/>
        <v>153</v>
      </c>
      <c r="AF175">
        <f t="shared" si="237"/>
        <v>16</v>
      </c>
      <c r="AG175">
        <f t="shared" si="238"/>
        <v>-39.5</v>
      </c>
      <c r="AH175">
        <f t="shared" si="239"/>
        <v>-5</v>
      </c>
      <c r="AI175">
        <f t="shared" si="240"/>
        <v>0</v>
      </c>
      <c r="AJ175">
        <f t="shared" si="241"/>
        <v>0</v>
      </c>
      <c r="AK175">
        <f t="shared" si="242"/>
        <v>0</v>
      </c>
      <c r="AL175">
        <f t="shared" si="243"/>
        <v>18</v>
      </c>
      <c r="AM175">
        <f t="shared" si="244"/>
        <v>254</v>
      </c>
      <c r="AN175">
        <f t="shared" si="245"/>
        <v>360</v>
      </c>
      <c r="AO175" s="1">
        <f t="shared" si="246"/>
        <v>0.7055555555555556</v>
      </c>
    </row>
    <row r="176" spans="1:41" x14ac:dyDescent="0.25">
      <c r="A176" t="s">
        <v>0</v>
      </c>
      <c r="B176">
        <v>6</v>
      </c>
      <c r="C176">
        <v>268</v>
      </c>
      <c r="D176">
        <v>46</v>
      </c>
      <c r="E176">
        <v>0</v>
      </c>
      <c r="F176">
        <v>75</v>
      </c>
      <c r="G176">
        <v>6</v>
      </c>
      <c r="H176">
        <v>0</v>
      </c>
      <c r="I176">
        <v>0</v>
      </c>
      <c r="J176">
        <v>1</v>
      </c>
      <c r="K176">
        <v>244</v>
      </c>
      <c r="L176">
        <v>22</v>
      </c>
      <c r="M176">
        <v>0</v>
      </c>
      <c r="N176" t="s">
        <v>3</v>
      </c>
      <c r="O176">
        <v>26</v>
      </c>
      <c r="P176">
        <v>32</v>
      </c>
      <c r="Q176">
        <v>32</v>
      </c>
      <c r="R176">
        <v>41</v>
      </c>
      <c r="S176">
        <v>41</v>
      </c>
      <c r="T176">
        <v>72</v>
      </c>
      <c r="U176">
        <v>271</v>
      </c>
      <c r="V176">
        <v>5</v>
      </c>
      <c r="W176">
        <f t="shared" si="228"/>
        <v>-34.5</v>
      </c>
      <c r="X176">
        <f t="shared" si="229"/>
        <v>3</v>
      </c>
      <c r="Y176">
        <f t="shared" si="230"/>
        <v>2</v>
      </c>
      <c r="Z176">
        <f t="shared" si="231"/>
        <v>2</v>
      </c>
      <c r="AA176">
        <f t="shared" si="232"/>
        <v>1</v>
      </c>
      <c r="AB176">
        <f t="shared" si="233"/>
        <v>1</v>
      </c>
      <c r="AC176">
        <f t="shared" si="234"/>
        <v>0</v>
      </c>
      <c r="AD176">
        <f t="shared" si="235"/>
        <v>134</v>
      </c>
      <c r="AE176">
        <f t="shared" si="236"/>
        <v>138</v>
      </c>
      <c r="AF176">
        <f t="shared" si="237"/>
        <v>0</v>
      </c>
      <c r="AG176">
        <f t="shared" si="238"/>
        <v>-37.5</v>
      </c>
      <c r="AH176">
        <f t="shared" si="239"/>
        <v>-6</v>
      </c>
      <c r="AI176">
        <f t="shared" si="240"/>
        <v>0</v>
      </c>
      <c r="AJ176">
        <f t="shared" si="241"/>
        <v>0</v>
      </c>
      <c r="AK176">
        <f t="shared" si="242"/>
        <v>-1</v>
      </c>
      <c r="AL176">
        <f t="shared" si="243"/>
        <v>9</v>
      </c>
      <c r="AM176">
        <f t="shared" si="244"/>
        <v>236.5</v>
      </c>
      <c r="AN176">
        <f t="shared" si="245"/>
        <v>396</v>
      </c>
      <c r="AO176" s="1">
        <f t="shared" si="246"/>
        <v>0.59722222222222221</v>
      </c>
    </row>
    <row r="177" spans="1:41" x14ac:dyDescent="0.25">
      <c r="A177" t="s">
        <v>2</v>
      </c>
      <c r="B177">
        <v>6</v>
      </c>
      <c r="C177">
        <v>208</v>
      </c>
      <c r="D177">
        <v>39</v>
      </c>
      <c r="E177">
        <v>2</v>
      </c>
      <c r="F177">
        <v>68</v>
      </c>
      <c r="G177">
        <v>7</v>
      </c>
      <c r="H177">
        <v>0</v>
      </c>
      <c r="I177">
        <v>0</v>
      </c>
      <c r="J177">
        <v>0</v>
      </c>
      <c r="K177">
        <v>298</v>
      </c>
      <c r="L177">
        <v>22</v>
      </c>
      <c r="M177">
        <v>0</v>
      </c>
      <c r="N177" t="s">
        <v>1</v>
      </c>
      <c r="O177">
        <v>5</v>
      </c>
      <c r="P177">
        <v>21</v>
      </c>
      <c r="Q177">
        <v>56</v>
      </c>
      <c r="R177">
        <v>72</v>
      </c>
      <c r="S177">
        <v>72</v>
      </c>
      <c r="T177">
        <v>72</v>
      </c>
      <c r="U177">
        <v>271</v>
      </c>
      <c r="V177">
        <v>3</v>
      </c>
      <c r="W177">
        <f t="shared" si="228"/>
        <v>-57</v>
      </c>
      <c r="X177">
        <f t="shared" si="229"/>
        <v>14</v>
      </c>
      <c r="Y177">
        <f t="shared" si="230"/>
        <v>4</v>
      </c>
      <c r="Z177">
        <f t="shared" si="231"/>
        <v>0</v>
      </c>
      <c r="AA177">
        <f t="shared" si="232"/>
        <v>0</v>
      </c>
      <c r="AB177">
        <f t="shared" si="233"/>
        <v>0</v>
      </c>
      <c r="AC177">
        <f t="shared" si="234"/>
        <v>0</v>
      </c>
      <c r="AD177">
        <f t="shared" si="235"/>
        <v>104</v>
      </c>
      <c r="AE177">
        <f t="shared" si="236"/>
        <v>117</v>
      </c>
      <c r="AF177">
        <f t="shared" si="237"/>
        <v>16</v>
      </c>
      <c r="AG177">
        <f t="shared" si="238"/>
        <v>-34</v>
      </c>
      <c r="AH177">
        <f t="shared" si="239"/>
        <v>-7</v>
      </c>
      <c r="AI177">
        <f t="shared" si="240"/>
        <v>0</v>
      </c>
      <c r="AJ177">
        <f t="shared" si="241"/>
        <v>0</v>
      </c>
      <c r="AK177">
        <f t="shared" si="242"/>
        <v>0</v>
      </c>
      <c r="AL177">
        <f t="shared" si="243"/>
        <v>18</v>
      </c>
      <c r="AM177">
        <f t="shared" si="244"/>
        <v>214</v>
      </c>
      <c r="AN177">
        <f t="shared" si="245"/>
        <v>324</v>
      </c>
      <c r="AO177" s="1">
        <f t="shared" si="246"/>
        <v>0.66049382716049387</v>
      </c>
    </row>
    <row r="178" spans="1:41" x14ac:dyDescent="0.25">
      <c r="A178" t="s">
        <v>6</v>
      </c>
      <c r="B178">
        <v>6</v>
      </c>
      <c r="C178">
        <v>265</v>
      </c>
      <c r="D178">
        <v>121</v>
      </c>
      <c r="E178">
        <v>5</v>
      </c>
      <c r="F178">
        <v>37</v>
      </c>
      <c r="G178">
        <v>4</v>
      </c>
      <c r="H178">
        <v>0</v>
      </c>
      <c r="I178">
        <v>0</v>
      </c>
      <c r="J178">
        <v>0</v>
      </c>
      <c r="K178">
        <v>100</v>
      </c>
      <c r="L178">
        <v>23</v>
      </c>
      <c r="M178">
        <v>1</v>
      </c>
      <c r="N178" t="s">
        <v>0</v>
      </c>
      <c r="O178">
        <v>5</v>
      </c>
      <c r="P178">
        <v>5</v>
      </c>
      <c r="Q178">
        <v>9</v>
      </c>
      <c r="R178">
        <v>23</v>
      </c>
      <c r="S178">
        <v>27</v>
      </c>
      <c r="T178">
        <v>31</v>
      </c>
      <c r="U178">
        <v>494.5</v>
      </c>
      <c r="V178">
        <v>6</v>
      </c>
      <c r="W178">
        <f t="shared" ref="W178:W185" si="247">AM178-U178</f>
        <v>61.5</v>
      </c>
      <c r="X178">
        <f t="shared" ref="X178:X185" si="248">IF(O178=1,50,IF(O178=2,25,IF(O178=3,18,IF(O178=4,16,IF(O178=5,14,IF(O178=6,12,IF(O178=7,10,IF(O178=8,9,IF(O178=10,7,IF(O178&lt;=15,6,IF(O178&lt;=20,5,IF(O178&lt;=25,4,IF(O178&lt;=30,3,IF(O178&lt;=40,2,IF(O178&lt;=50,1,IF(O178&gt;50,0))))))))))))))))</f>
        <v>14</v>
      </c>
      <c r="Y178">
        <f t="shared" ref="Y178:Y185" si="249">IF(P178=1,50,IF(P178=2,25,IF(P178=3,18,IF(P178=4,16,IF(P178=5,14,IF(P178=6,12,IF(P178=7,10,IF(P178=8,9,IF(P178=10,7,IF(P178&lt;=15,6,IF(P178&lt;=20,5,IF(P178&lt;=25,4,IF(P178&lt;=30,3,IF(P178&lt;=40,2,IF(P178&lt;=50,1,IF(P178&gt;50,0))))))))))))))))</f>
        <v>14</v>
      </c>
      <c r="Z178">
        <f t="shared" ref="Z178:Z185" si="250">IF(Q178=1,50,IF(Q178=2,25,IF(Q178=3,18,IF(Q178=4,16,IF(Q178=5,14,IF(Q178=6,12,IF(Q178=7,10,IF(Q178=8,9,IF(Q178=10,7,IF(Q178&lt;=15,6,IF(Q178&lt;=20,5,IF(Q178&lt;=25,4,IF(Q178&lt;=30,3,IF(Q178&lt;=40,2,IF(Q178&lt;=50,1,IF(Q178&gt;50,0))))))))))))))))</f>
        <v>6</v>
      </c>
      <c r="AA178">
        <f t="shared" ref="AA178:AA185" si="251">IF(R178=1,50,IF(R178=2,25,IF(R178=3,18,IF(R178=4,16,IF(R178=5,14,IF(R178=6,12,IF(R178=7,10,IF(R178=8,9,IF(R178=10,7,IF(R178&lt;=15,6,IF(R178&lt;=20,5,IF(R178&lt;=25,4,IF(R178&lt;=30,3,IF(R178&lt;=40,2,IF(R178&lt;=50,1,IF(R178&gt;50,0))))))))))))))))</f>
        <v>4</v>
      </c>
      <c r="AB178">
        <f t="shared" ref="AB178:AB185" si="252">IF(S178=1,50,IF(S178=2,25,IF(S178=3,18,IF(S178=4,16,IF(S178=5,14,IF(S178=6,12,IF(S178=7,10,IF(S178=8,9,IF(S178=10,7,IF(S178&lt;=15,6,IF(S178&lt;=20,5,IF(S178&lt;=25,4,IF(S178&lt;=30,3,IF(S178&lt;=40,2,IF(S178&lt;=50,1,IF(S178&gt;50,0))))))))))))))))</f>
        <v>3</v>
      </c>
      <c r="AC178">
        <f t="shared" ref="AC178:AC185" si="253">IF(T178=1,50,IF(T178=2,25,IF(T178=3,18,IF(T178=4,16,IF(T178=5,14,IF(T178=6,12,IF(T178=7,10,IF(T178=8,9,IF(T178=10,7,IF(T178&lt;=15,6,IF(T178&lt;=20,5,IF(T178&lt;=25,4,IF(T178&lt;=30,3,IF(T178&lt;=40,2,IF(T178&lt;=50,1,IF(T178&gt;50,0))))))))))))))))</f>
        <v>2</v>
      </c>
      <c r="AD178">
        <f t="shared" ref="AD178:AD185" si="254">C178*0.5</f>
        <v>132.5</v>
      </c>
      <c r="AE178">
        <f t="shared" ref="AE178:AE185" si="255">D178*3</f>
        <v>363</v>
      </c>
      <c r="AF178">
        <f t="shared" ref="AF178:AF185" si="256">E178*8</f>
        <v>40</v>
      </c>
      <c r="AG178">
        <f t="shared" ref="AG178:AG185" si="257">-1*(F178/2)</f>
        <v>-18.5</v>
      </c>
      <c r="AH178">
        <f t="shared" ref="AH178:AH185" si="258">G178*-1</f>
        <v>-4</v>
      </c>
      <c r="AI178">
        <f t="shared" ref="AI178:AI185" si="259">H178*13</f>
        <v>0</v>
      </c>
      <c r="AJ178">
        <f t="shared" ref="AJ178:AJ185" si="260">I178*5</f>
        <v>0</v>
      </c>
      <c r="AK178">
        <f t="shared" ref="AK178:AK185" si="261">J178*-1</f>
        <v>0</v>
      </c>
      <c r="AL178">
        <f t="shared" ref="AL178:AL185" si="262">SUM(X178:AC178)</f>
        <v>43</v>
      </c>
      <c r="AM178">
        <f t="shared" ref="AM178:AM185" si="263">SUM(AD178:AL178)</f>
        <v>556</v>
      </c>
      <c r="AN178">
        <f t="shared" ref="AN178:AN185" si="264">SUM(C178:G178,J178)</f>
        <v>432</v>
      </c>
      <c r="AO178" s="1">
        <f t="shared" ref="AO178:AO185" si="265">AM178/AN178</f>
        <v>1.287037037037037</v>
      </c>
    </row>
    <row r="179" spans="1:41" x14ac:dyDescent="0.25">
      <c r="A179" t="s">
        <v>2</v>
      </c>
      <c r="B179">
        <v>6</v>
      </c>
      <c r="C179">
        <v>262</v>
      </c>
      <c r="D179">
        <v>115</v>
      </c>
      <c r="E179">
        <v>7</v>
      </c>
      <c r="F179">
        <v>45</v>
      </c>
      <c r="G179">
        <v>3</v>
      </c>
      <c r="H179">
        <v>0</v>
      </c>
      <c r="I179">
        <v>0</v>
      </c>
      <c r="J179">
        <v>0</v>
      </c>
      <c r="K179">
        <v>134</v>
      </c>
      <c r="L179">
        <v>23</v>
      </c>
      <c r="M179">
        <v>1</v>
      </c>
      <c r="N179" t="s">
        <v>7</v>
      </c>
      <c r="O179">
        <v>3</v>
      </c>
      <c r="P179">
        <v>9</v>
      </c>
      <c r="Q179">
        <v>16</v>
      </c>
      <c r="R179">
        <v>20</v>
      </c>
      <c r="S179">
        <v>31</v>
      </c>
      <c r="T179">
        <v>55</v>
      </c>
      <c r="U179">
        <v>494.5</v>
      </c>
      <c r="V179">
        <v>6</v>
      </c>
      <c r="W179">
        <f t="shared" si="247"/>
        <v>48</v>
      </c>
      <c r="X179">
        <f t="shared" si="248"/>
        <v>18</v>
      </c>
      <c r="Y179">
        <f t="shared" si="249"/>
        <v>6</v>
      </c>
      <c r="Z179">
        <f t="shared" si="250"/>
        <v>5</v>
      </c>
      <c r="AA179">
        <f t="shared" si="251"/>
        <v>5</v>
      </c>
      <c r="AB179">
        <f t="shared" si="252"/>
        <v>2</v>
      </c>
      <c r="AC179">
        <f t="shared" si="253"/>
        <v>0</v>
      </c>
      <c r="AD179">
        <f t="shared" si="254"/>
        <v>131</v>
      </c>
      <c r="AE179">
        <f t="shared" si="255"/>
        <v>345</v>
      </c>
      <c r="AF179">
        <f t="shared" si="256"/>
        <v>56</v>
      </c>
      <c r="AG179">
        <f t="shared" si="257"/>
        <v>-22.5</v>
      </c>
      <c r="AH179">
        <f t="shared" si="258"/>
        <v>-3</v>
      </c>
      <c r="AI179">
        <f t="shared" si="259"/>
        <v>0</v>
      </c>
      <c r="AJ179">
        <f t="shared" si="260"/>
        <v>0</v>
      </c>
      <c r="AK179">
        <f t="shared" si="261"/>
        <v>0</v>
      </c>
      <c r="AL179">
        <f t="shared" si="262"/>
        <v>36</v>
      </c>
      <c r="AM179">
        <f t="shared" si="263"/>
        <v>542.5</v>
      </c>
      <c r="AN179">
        <f t="shared" si="264"/>
        <v>432</v>
      </c>
      <c r="AO179" s="1">
        <f t="shared" si="265"/>
        <v>1.255787037037037</v>
      </c>
    </row>
    <row r="180" spans="1:41" x14ac:dyDescent="0.25">
      <c r="A180" t="s">
        <v>1</v>
      </c>
      <c r="B180">
        <v>6</v>
      </c>
      <c r="C180">
        <v>267</v>
      </c>
      <c r="D180">
        <v>116</v>
      </c>
      <c r="E180">
        <v>6</v>
      </c>
      <c r="F180">
        <v>41</v>
      </c>
      <c r="G180">
        <v>2</v>
      </c>
      <c r="H180">
        <v>0</v>
      </c>
      <c r="I180">
        <v>0</v>
      </c>
      <c r="J180">
        <v>0</v>
      </c>
      <c r="K180">
        <v>110</v>
      </c>
      <c r="L180">
        <v>23</v>
      </c>
      <c r="M180">
        <v>1</v>
      </c>
      <c r="N180" t="s">
        <v>3</v>
      </c>
      <c r="O180">
        <v>5</v>
      </c>
      <c r="P180">
        <v>9</v>
      </c>
      <c r="Q180">
        <v>15</v>
      </c>
      <c r="R180">
        <v>23</v>
      </c>
      <c r="S180">
        <v>27</v>
      </c>
      <c r="T180">
        <v>31</v>
      </c>
      <c r="U180">
        <v>494.5</v>
      </c>
      <c r="V180">
        <v>6</v>
      </c>
      <c r="W180">
        <f t="shared" si="247"/>
        <v>47.5</v>
      </c>
      <c r="X180">
        <f t="shared" si="248"/>
        <v>14</v>
      </c>
      <c r="Y180">
        <f t="shared" si="249"/>
        <v>6</v>
      </c>
      <c r="Z180">
        <f t="shared" si="250"/>
        <v>6</v>
      </c>
      <c r="AA180">
        <f t="shared" si="251"/>
        <v>4</v>
      </c>
      <c r="AB180">
        <f t="shared" si="252"/>
        <v>3</v>
      </c>
      <c r="AC180">
        <f t="shared" si="253"/>
        <v>2</v>
      </c>
      <c r="AD180">
        <f t="shared" si="254"/>
        <v>133.5</v>
      </c>
      <c r="AE180">
        <f t="shared" si="255"/>
        <v>348</v>
      </c>
      <c r="AF180">
        <f t="shared" si="256"/>
        <v>48</v>
      </c>
      <c r="AG180">
        <f t="shared" si="257"/>
        <v>-20.5</v>
      </c>
      <c r="AH180">
        <f t="shared" si="258"/>
        <v>-2</v>
      </c>
      <c r="AI180">
        <f t="shared" si="259"/>
        <v>0</v>
      </c>
      <c r="AJ180">
        <f t="shared" si="260"/>
        <v>0</v>
      </c>
      <c r="AK180">
        <f t="shared" si="261"/>
        <v>0</v>
      </c>
      <c r="AL180">
        <f t="shared" si="262"/>
        <v>35</v>
      </c>
      <c r="AM180">
        <f t="shared" si="263"/>
        <v>542</v>
      </c>
      <c r="AN180">
        <f t="shared" si="264"/>
        <v>432</v>
      </c>
      <c r="AO180" s="1">
        <f t="shared" si="265"/>
        <v>1.2546296296296295</v>
      </c>
    </row>
    <row r="181" spans="1:41" x14ac:dyDescent="0.25">
      <c r="A181" t="s">
        <v>4</v>
      </c>
      <c r="B181">
        <v>6</v>
      </c>
      <c r="C181">
        <v>275</v>
      </c>
      <c r="D181">
        <v>116</v>
      </c>
      <c r="E181">
        <v>0</v>
      </c>
      <c r="F181">
        <v>36</v>
      </c>
      <c r="G181">
        <v>5</v>
      </c>
      <c r="H181">
        <v>0</v>
      </c>
      <c r="I181">
        <v>0</v>
      </c>
      <c r="J181">
        <v>0</v>
      </c>
      <c r="K181">
        <v>172</v>
      </c>
      <c r="L181">
        <v>23</v>
      </c>
      <c r="M181">
        <v>1</v>
      </c>
      <c r="N181" t="s">
        <v>5</v>
      </c>
      <c r="O181">
        <v>2</v>
      </c>
      <c r="P181">
        <v>13</v>
      </c>
      <c r="Q181">
        <v>27</v>
      </c>
      <c r="R181">
        <v>36</v>
      </c>
      <c r="S181">
        <v>39</v>
      </c>
      <c r="T181">
        <v>55</v>
      </c>
      <c r="U181">
        <v>494.5</v>
      </c>
      <c r="V181">
        <v>6</v>
      </c>
      <c r="W181">
        <f t="shared" si="247"/>
        <v>6</v>
      </c>
      <c r="X181">
        <f t="shared" si="248"/>
        <v>25</v>
      </c>
      <c r="Y181">
        <f t="shared" si="249"/>
        <v>6</v>
      </c>
      <c r="Z181">
        <f t="shared" si="250"/>
        <v>3</v>
      </c>
      <c r="AA181">
        <f t="shared" si="251"/>
        <v>2</v>
      </c>
      <c r="AB181">
        <f t="shared" si="252"/>
        <v>2</v>
      </c>
      <c r="AC181">
        <f t="shared" si="253"/>
        <v>0</v>
      </c>
      <c r="AD181">
        <f t="shared" si="254"/>
        <v>137.5</v>
      </c>
      <c r="AE181">
        <f t="shared" si="255"/>
        <v>348</v>
      </c>
      <c r="AF181">
        <f t="shared" si="256"/>
        <v>0</v>
      </c>
      <c r="AG181">
        <f t="shared" si="257"/>
        <v>-18</v>
      </c>
      <c r="AH181">
        <f t="shared" si="258"/>
        <v>-5</v>
      </c>
      <c r="AI181">
        <f t="shared" si="259"/>
        <v>0</v>
      </c>
      <c r="AJ181">
        <f t="shared" si="260"/>
        <v>0</v>
      </c>
      <c r="AK181">
        <f t="shared" si="261"/>
        <v>0</v>
      </c>
      <c r="AL181">
        <f t="shared" si="262"/>
        <v>38</v>
      </c>
      <c r="AM181">
        <f t="shared" si="263"/>
        <v>500.5</v>
      </c>
      <c r="AN181">
        <f t="shared" si="264"/>
        <v>432</v>
      </c>
      <c r="AO181" s="1">
        <f t="shared" si="265"/>
        <v>1.1585648148148149</v>
      </c>
    </row>
    <row r="182" spans="1:41" x14ac:dyDescent="0.25">
      <c r="A182" t="s">
        <v>0</v>
      </c>
      <c r="B182">
        <v>6</v>
      </c>
      <c r="C182">
        <v>288</v>
      </c>
      <c r="D182">
        <v>102</v>
      </c>
      <c r="E182">
        <v>1</v>
      </c>
      <c r="F182">
        <v>33</v>
      </c>
      <c r="G182">
        <v>7</v>
      </c>
      <c r="H182">
        <v>0</v>
      </c>
      <c r="I182">
        <v>0</v>
      </c>
      <c r="J182">
        <v>1</v>
      </c>
      <c r="K182">
        <v>224</v>
      </c>
      <c r="L182">
        <v>23</v>
      </c>
      <c r="M182">
        <v>0</v>
      </c>
      <c r="N182" t="s">
        <v>6</v>
      </c>
      <c r="O182">
        <v>1</v>
      </c>
      <c r="P182">
        <v>23</v>
      </c>
      <c r="Q182">
        <v>42</v>
      </c>
      <c r="R182">
        <v>48</v>
      </c>
      <c r="S182">
        <v>55</v>
      </c>
      <c r="T182">
        <v>55</v>
      </c>
      <c r="U182">
        <v>494.5</v>
      </c>
      <c r="V182">
        <v>6</v>
      </c>
      <c r="W182">
        <f t="shared" si="247"/>
        <v>-5</v>
      </c>
      <c r="X182">
        <f t="shared" si="248"/>
        <v>50</v>
      </c>
      <c r="Y182">
        <f t="shared" si="249"/>
        <v>4</v>
      </c>
      <c r="Z182">
        <f t="shared" si="250"/>
        <v>1</v>
      </c>
      <c r="AA182">
        <f t="shared" si="251"/>
        <v>1</v>
      </c>
      <c r="AB182">
        <f t="shared" si="252"/>
        <v>0</v>
      </c>
      <c r="AC182">
        <f t="shared" si="253"/>
        <v>0</v>
      </c>
      <c r="AD182">
        <f t="shared" si="254"/>
        <v>144</v>
      </c>
      <c r="AE182">
        <f t="shared" si="255"/>
        <v>306</v>
      </c>
      <c r="AF182">
        <f t="shared" si="256"/>
        <v>8</v>
      </c>
      <c r="AG182">
        <f t="shared" si="257"/>
        <v>-16.5</v>
      </c>
      <c r="AH182">
        <f t="shared" si="258"/>
        <v>-7</v>
      </c>
      <c r="AI182">
        <f t="shared" si="259"/>
        <v>0</v>
      </c>
      <c r="AJ182">
        <f t="shared" si="260"/>
        <v>0</v>
      </c>
      <c r="AK182">
        <f t="shared" si="261"/>
        <v>-1</v>
      </c>
      <c r="AL182">
        <f t="shared" si="262"/>
        <v>56</v>
      </c>
      <c r="AM182">
        <f t="shared" si="263"/>
        <v>489.5</v>
      </c>
      <c r="AN182">
        <f t="shared" si="264"/>
        <v>432</v>
      </c>
      <c r="AO182" s="1">
        <f t="shared" si="265"/>
        <v>1.1331018518518519</v>
      </c>
    </row>
    <row r="183" spans="1:41" x14ac:dyDescent="0.25">
      <c r="A183" t="s">
        <v>7</v>
      </c>
      <c r="B183">
        <v>6</v>
      </c>
      <c r="C183">
        <v>259</v>
      </c>
      <c r="D183">
        <v>111</v>
      </c>
      <c r="E183">
        <v>4</v>
      </c>
      <c r="F183">
        <v>52</v>
      </c>
      <c r="G183">
        <v>6</v>
      </c>
      <c r="H183">
        <v>0</v>
      </c>
      <c r="I183">
        <v>0</v>
      </c>
      <c r="J183">
        <v>0</v>
      </c>
      <c r="K183">
        <v>210</v>
      </c>
      <c r="L183">
        <v>23</v>
      </c>
      <c r="M183">
        <v>0</v>
      </c>
      <c r="N183" t="s">
        <v>2</v>
      </c>
      <c r="O183">
        <v>5</v>
      </c>
      <c r="P183">
        <v>20</v>
      </c>
      <c r="Q183">
        <v>36</v>
      </c>
      <c r="R183">
        <v>39</v>
      </c>
      <c r="S183">
        <v>44</v>
      </c>
      <c r="T183">
        <v>66</v>
      </c>
      <c r="U183">
        <v>494.5</v>
      </c>
      <c r="V183">
        <v>6</v>
      </c>
      <c r="W183">
        <f t="shared" si="247"/>
        <v>-8</v>
      </c>
      <c r="X183">
        <f t="shared" si="248"/>
        <v>14</v>
      </c>
      <c r="Y183">
        <f t="shared" si="249"/>
        <v>5</v>
      </c>
      <c r="Z183">
        <f t="shared" si="250"/>
        <v>2</v>
      </c>
      <c r="AA183">
        <f t="shared" si="251"/>
        <v>2</v>
      </c>
      <c r="AB183">
        <f t="shared" si="252"/>
        <v>1</v>
      </c>
      <c r="AC183">
        <f t="shared" si="253"/>
        <v>0</v>
      </c>
      <c r="AD183">
        <f t="shared" si="254"/>
        <v>129.5</v>
      </c>
      <c r="AE183">
        <f t="shared" si="255"/>
        <v>333</v>
      </c>
      <c r="AF183">
        <f t="shared" si="256"/>
        <v>32</v>
      </c>
      <c r="AG183">
        <f t="shared" si="257"/>
        <v>-26</v>
      </c>
      <c r="AH183">
        <f t="shared" si="258"/>
        <v>-6</v>
      </c>
      <c r="AI183">
        <f t="shared" si="259"/>
        <v>0</v>
      </c>
      <c r="AJ183">
        <f t="shared" si="260"/>
        <v>0</v>
      </c>
      <c r="AK183">
        <f t="shared" si="261"/>
        <v>0</v>
      </c>
      <c r="AL183">
        <f t="shared" si="262"/>
        <v>24</v>
      </c>
      <c r="AM183">
        <f t="shared" si="263"/>
        <v>486.5</v>
      </c>
      <c r="AN183">
        <f t="shared" si="264"/>
        <v>432</v>
      </c>
      <c r="AO183" s="1">
        <f t="shared" si="265"/>
        <v>1.1261574074074074</v>
      </c>
    </row>
    <row r="184" spans="1:41" x14ac:dyDescent="0.25">
      <c r="A184" t="s">
        <v>3</v>
      </c>
      <c r="B184">
        <v>6</v>
      </c>
      <c r="C184">
        <v>283</v>
      </c>
      <c r="D184">
        <v>100</v>
      </c>
      <c r="E184">
        <v>1</v>
      </c>
      <c r="F184">
        <v>43</v>
      </c>
      <c r="G184">
        <v>5</v>
      </c>
      <c r="H184">
        <v>0</v>
      </c>
      <c r="I184">
        <v>0</v>
      </c>
      <c r="J184">
        <v>0</v>
      </c>
      <c r="K184">
        <v>239</v>
      </c>
      <c r="L184">
        <v>23</v>
      </c>
      <c r="M184">
        <v>0</v>
      </c>
      <c r="N184" t="s">
        <v>1</v>
      </c>
      <c r="O184">
        <v>9</v>
      </c>
      <c r="P184">
        <v>13</v>
      </c>
      <c r="Q184">
        <v>44</v>
      </c>
      <c r="R184">
        <v>55</v>
      </c>
      <c r="S184">
        <v>55</v>
      </c>
      <c r="T184">
        <v>63</v>
      </c>
      <c r="U184">
        <v>494.5</v>
      </c>
      <c r="V184">
        <v>6</v>
      </c>
      <c r="W184">
        <f t="shared" si="247"/>
        <v>-58.5</v>
      </c>
      <c r="X184">
        <f t="shared" si="248"/>
        <v>6</v>
      </c>
      <c r="Y184">
        <f t="shared" si="249"/>
        <v>6</v>
      </c>
      <c r="Z184">
        <f t="shared" si="250"/>
        <v>1</v>
      </c>
      <c r="AA184">
        <f t="shared" si="251"/>
        <v>0</v>
      </c>
      <c r="AB184">
        <f t="shared" si="252"/>
        <v>0</v>
      </c>
      <c r="AC184">
        <f t="shared" si="253"/>
        <v>0</v>
      </c>
      <c r="AD184">
        <f t="shared" si="254"/>
        <v>141.5</v>
      </c>
      <c r="AE184">
        <f t="shared" si="255"/>
        <v>300</v>
      </c>
      <c r="AF184">
        <f t="shared" si="256"/>
        <v>8</v>
      </c>
      <c r="AG184">
        <f t="shared" si="257"/>
        <v>-21.5</v>
      </c>
      <c r="AH184">
        <f t="shared" si="258"/>
        <v>-5</v>
      </c>
      <c r="AI184">
        <f t="shared" si="259"/>
        <v>0</v>
      </c>
      <c r="AJ184">
        <f t="shared" si="260"/>
        <v>0</v>
      </c>
      <c r="AK184">
        <f t="shared" si="261"/>
        <v>0</v>
      </c>
      <c r="AL184">
        <f t="shared" si="262"/>
        <v>13</v>
      </c>
      <c r="AM184">
        <f t="shared" si="263"/>
        <v>436</v>
      </c>
      <c r="AN184">
        <f t="shared" si="264"/>
        <v>432</v>
      </c>
      <c r="AO184" s="1">
        <f t="shared" si="265"/>
        <v>1.0092592592592593</v>
      </c>
    </row>
    <row r="185" spans="1:41" x14ac:dyDescent="0.25">
      <c r="A185" t="s">
        <v>5</v>
      </c>
      <c r="B185">
        <v>6</v>
      </c>
      <c r="C185">
        <v>276</v>
      </c>
      <c r="D185">
        <v>98</v>
      </c>
      <c r="E185">
        <v>0</v>
      </c>
      <c r="F185">
        <v>53</v>
      </c>
      <c r="G185">
        <v>5</v>
      </c>
      <c r="H185">
        <v>0</v>
      </c>
      <c r="I185">
        <v>0</v>
      </c>
      <c r="J185">
        <v>0</v>
      </c>
      <c r="K185">
        <v>287</v>
      </c>
      <c r="L185">
        <v>23</v>
      </c>
      <c r="M185">
        <v>0</v>
      </c>
      <c r="N185" t="s">
        <v>4</v>
      </c>
      <c r="O185">
        <v>3</v>
      </c>
      <c r="P185">
        <v>44</v>
      </c>
      <c r="Q185">
        <v>48</v>
      </c>
      <c r="R185">
        <v>61</v>
      </c>
      <c r="S185">
        <v>63</v>
      </c>
      <c r="T185">
        <v>68</v>
      </c>
      <c r="U185">
        <v>494.5</v>
      </c>
      <c r="V185">
        <v>6</v>
      </c>
      <c r="W185">
        <f t="shared" si="247"/>
        <v>-74</v>
      </c>
      <c r="X185">
        <f t="shared" si="248"/>
        <v>18</v>
      </c>
      <c r="Y185">
        <f t="shared" si="249"/>
        <v>1</v>
      </c>
      <c r="Z185">
        <f t="shared" si="250"/>
        <v>1</v>
      </c>
      <c r="AA185">
        <f t="shared" si="251"/>
        <v>0</v>
      </c>
      <c r="AB185">
        <f t="shared" si="252"/>
        <v>0</v>
      </c>
      <c r="AC185">
        <f t="shared" si="253"/>
        <v>0</v>
      </c>
      <c r="AD185">
        <f t="shared" si="254"/>
        <v>138</v>
      </c>
      <c r="AE185">
        <f t="shared" si="255"/>
        <v>294</v>
      </c>
      <c r="AF185">
        <f t="shared" si="256"/>
        <v>0</v>
      </c>
      <c r="AG185">
        <f t="shared" si="257"/>
        <v>-26.5</v>
      </c>
      <c r="AH185">
        <f t="shared" si="258"/>
        <v>-5</v>
      </c>
      <c r="AI185">
        <f t="shared" si="259"/>
        <v>0</v>
      </c>
      <c r="AJ185">
        <f t="shared" si="260"/>
        <v>0</v>
      </c>
      <c r="AK185">
        <f t="shared" si="261"/>
        <v>0</v>
      </c>
      <c r="AL185">
        <f t="shared" si="262"/>
        <v>20</v>
      </c>
      <c r="AM185">
        <f t="shared" si="263"/>
        <v>420.5</v>
      </c>
      <c r="AN185">
        <f t="shared" si="264"/>
        <v>432</v>
      </c>
      <c r="AO185" s="1">
        <f t="shared" si="265"/>
        <v>0.97337962962962965</v>
      </c>
    </row>
    <row r="186" spans="1:41" x14ac:dyDescent="0.25">
      <c r="A186" t="s">
        <v>6</v>
      </c>
      <c r="B186">
        <v>6</v>
      </c>
      <c r="C186">
        <v>278</v>
      </c>
      <c r="D186">
        <v>94</v>
      </c>
      <c r="E186">
        <v>2</v>
      </c>
      <c r="F186">
        <v>22</v>
      </c>
      <c r="G186">
        <v>0</v>
      </c>
      <c r="H186">
        <v>0</v>
      </c>
      <c r="I186">
        <v>0</v>
      </c>
      <c r="J186">
        <v>0</v>
      </c>
      <c r="K186">
        <v>107</v>
      </c>
      <c r="L186">
        <v>24</v>
      </c>
      <c r="M186">
        <v>1</v>
      </c>
      <c r="N186" t="s">
        <v>1</v>
      </c>
      <c r="O186">
        <v>2</v>
      </c>
      <c r="P186">
        <v>6</v>
      </c>
      <c r="Q186">
        <v>6</v>
      </c>
      <c r="R186">
        <v>10</v>
      </c>
      <c r="S186">
        <v>10</v>
      </c>
      <c r="T186">
        <v>73</v>
      </c>
      <c r="U186">
        <v>410</v>
      </c>
      <c r="V186">
        <v>5</v>
      </c>
      <c r="W186">
        <f t="shared" ref="W186:W193" si="266">AM186-U186</f>
        <v>79</v>
      </c>
      <c r="X186">
        <f t="shared" ref="X186:X193" si="267">IF(O186=1,50,IF(O186=2,25,IF(O186=3,18,IF(O186=4,16,IF(O186=5,14,IF(O186=6,12,IF(O186=7,10,IF(O186=8,9,IF(O186=10,7,IF(O186&lt;=15,6,IF(O186&lt;=20,5,IF(O186&lt;=25,4,IF(O186&lt;=30,3,IF(O186&lt;=40,2,IF(O186&lt;=50,1,IF(O186&gt;50,0))))))))))))))))</f>
        <v>25</v>
      </c>
      <c r="Y186">
        <f t="shared" ref="Y186:Y193" si="268">IF(P186=1,50,IF(P186=2,25,IF(P186=3,18,IF(P186=4,16,IF(P186=5,14,IF(P186=6,12,IF(P186=7,10,IF(P186=8,9,IF(P186=10,7,IF(P186&lt;=15,6,IF(P186&lt;=20,5,IF(P186&lt;=25,4,IF(P186&lt;=30,3,IF(P186&lt;=40,2,IF(P186&lt;=50,1,IF(P186&gt;50,0))))))))))))))))</f>
        <v>12</v>
      </c>
      <c r="Z186">
        <f t="shared" ref="Z186:Z193" si="269">IF(Q186=1,50,IF(Q186=2,25,IF(Q186=3,18,IF(Q186=4,16,IF(Q186=5,14,IF(Q186=6,12,IF(Q186=7,10,IF(Q186=8,9,IF(Q186=10,7,IF(Q186&lt;=15,6,IF(Q186&lt;=20,5,IF(Q186&lt;=25,4,IF(Q186&lt;=30,3,IF(Q186&lt;=40,2,IF(Q186&lt;=50,1,IF(Q186&gt;50,0))))))))))))))))</f>
        <v>12</v>
      </c>
      <c r="AA186">
        <f t="shared" ref="AA186:AA193" si="270">IF(R186=1,50,IF(R186=2,25,IF(R186=3,18,IF(R186=4,16,IF(R186=5,14,IF(R186=6,12,IF(R186=7,10,IF(R186=8,9,IF(R186=10,7,IF(R186&lt;=15,6,IF(R186&lt;=20,5,IF(R186&lt;=25,4,IF(R186&lt;=30,3,IF(R186&lt;=40,2,IF(R186&lt;=50,1,IF(R186&gt;50,0))))))))))))))))</f>
        <v>7</v>
      </c>
      <c r="AB186">
        <f t="shared" ref="AB186:AB193" si="271">IF(S186=1,50,IF(S186=2,25,IF(S186=3,18,IF(S186=4,16,IF(S186=5,14,IF(S186=6,12,IF(S186=7,10,IF(S186=8,9,IF(S186=10,7,IF(S186&lt;=15,6,IF(S186&lt;=20,5,IF(S186&lt;=25,4,IF(S186&lt;=30,3,IF(S186&lt;=40,2,IF(S186&lt;=50,1,IF(S186&gt;50,0))))))))))))))))</f>
        <v>7</v>
      </c>
      <c r="AC186">
        <f t="shared" ref="AC186:AC193" si="272">IF(T186=1,50,IF(T186=2,25,IF(T186=3,18,IF(T186=4,16,IF(T186=5,14,IF(T186=6,12,IF(T186=7,10,IF(T186=8,9,IF(T186=10,7,IF(T186&lt;=15,6,IF(T186&lt;=20,5,IF(T186&lt;=25,4,IF(T186&lt;=30,3,IF(T186&lt;=40,2,IF(T186&lt;=50,1,IF(T186&gt;50,0))))))))))))))))</f>
        <v>0</v>
      </c>
      <c r="AD186">
        <f t="shared" ref="AD186:AD193" si="273">C186*0.5</f>
        <v>139</v>
      </c>
      <c r="AE186">
        <f t="shared" ref="AE186:AE193" si="274">D186*3</f>
        <v>282</v>
      </c>
      <c r="AF186">
        <f t="shared" ref="AF186:AF193" si="275">E186*8</f>
        <v>16</v>
      </c>
      <c r="AG186">
        <f t="shared" ref="AG186:AG193" si="276">-1*(F186/2)</f>
        <v>-11</v>
      </c>
      <c r="AH186">
        <f t="shared" ref="AH186:AH193" si="277">G186*-1</f>
        <v>0</v>
      </c>
      <c r="AI186">
        <f t="shared" ref="AI186:AI193" si="278">H186*13</f>
        <v>0</v>
      </c>
      <c r="AJ186">
        <f t="shared" ref="AJ186:AJ193" si="279">I186*5</f>
        <v>0</v>
      </c>
      <c r="AK186">
        <f t="shared" ref="AK186:AK193" si="280">J186*-1</f>
        <v>0</v>
      </c>
      <c r="AL186">
        <f t="shared" ref="AL186:AL193" si="281">SUM(X186:AC186)</f>
        <v>63</v>
      </c>
      <c r="AM186">
        <f t="shared" ref="AM186:AM193" si="282">SUM(AD186:AL186)</f>
        <v>489</v>
      </c>
      <c r="AN186">
        <f t="shared" ref="AN186:AN193" si="283">SUM(C186:G186,J186)</f>
        <v>396</v>
      </c>
      <c r="AO186" s="1">
        <f t="shared" ref="AO186:AO193" si="284">AM186/AN186</f>
        <v>1.2348484848484849</v>
      </c>
    </row>
    <row r="187" spans="1:41" x14ac:dyDescent="0.25">
      <c r="A187" t="s">
        <v>4</v>
      </c>
      <c r="B187">
        <v>6</v>
      </c>
      <c r="C187">
        <v>251</v>
      </c>
      <c r="D187">
        <v>92</v>
      </c>
      <c r="E187">
        <v>3</v>
      </c>
      <c r="F187">
        <v>46</v>
      </c>
      <c r="G187">
        <v>3</v>
      </c>
      <c r="H187">
        <v>0</v>
      </c>
      <c r="I187">
        <v>0</v>
      </c>
      <c r="J187">
        <v>1</v>
      </c>
      <c r="K187">
        <v>304</v>
      </c>
      <c r="L187">
        <v>24</v>
      </c>
      <c r="M187">
        <v>1</v>
      </c>
      <c r="N187" t="s">
        <v>2</v>
      </c>
      <c r="O187">
        <v>2</v>
      </c>
      <c r="P187">
        <v>44</v>
      </c>
      <c r="Q187">
        <v>52</v>
      </c>
      <c r="R187">
        <v>66</v>
      </c>
      <c r="S187">
        <v>67</v>
      </c>
      <c r="T187">
        <v>73</v>
      </c>
      <c r="U187">
        <v>410</v>
      </c>
      <c r="V187">
        <v>5</v>
      </c>
      <c r="W187">
        <f t="shared" si="266"/>
        <v>14.5</v>
      </c>
      <c r="X187">
        <f t="shared" si="267"/>
        <v>25</v>
      </c>
      <c r="Y187">
        <f t="shared" si="268"/>
        <v>1</v>
      </c>
      <c r="Z187">
        <f t="shared" si="269"/>
        <v>0</v>
      </c>
      <c r="AA187">
        <f t="shared" si="270"/>
        <v>0</v>
      </c>
      <c r="AB187">
        <f t="shared" si="271"/>
        <v>0</v>
      </c>
      <c r="AC187">
        <f t="shared" si="272"/>
        <v>0</v>
      </c>
      <c r="AD187">
        <f t="shared" si="273"/>
        <v>125.5</v>
      </c>
      <c r="AE187">
        <f t="shared" si="274"/>
        <v>276</v>
      </c>
      <c r="AF187">
        <f t="shared" si="275"/>
        <v>24</v>
      </c>
      <c r="AG187">
        <f t="shared" si="276"/>
        <v>-23</v>
      </c>
      <c r="AH187">
        <f t="shared" si="277"/>
        <v>-3</v>
      </c>
      <c r="AI187">
        <f t="shared" si="278"/>
        <v>0</v>
      </c>
      <c r="AJ187">
        <f t="shared" si="279"/>
        <v>0</v>
      </c>
      <c r="AK187">
        <f t="shared" si="280"/>
        <v>-1</v>
      </c>
      <c r="AL187">
        <f t="shared" si="281"/>
        <v>26</v>
      </c>
      <c r="AM187">
        <f t="shared" si="282"/>
        <v>424.5</v>
      </c>
      <c r="AN187">
        <f t="shared" si="283"/>
        <v>396</v>
      </c>
      <c r="AO187" s="1">
        <f t="shared" si="284"/>
        <v>1.071969696969697</v>
      </c>
    </row>
    <row r="188" spans="1:41" x14ac:dyDescent="0.25">
      <c r="A188" t="s">
        <v>0</v>
      </c>
      <c r="B188">
        <v>5</v>
      </c>
      <c r="C188">
        <v>185</v>
      </c>
      <c r="D188">
        <v>94</v>
      </c>
      <c r="E188">
        <v>1</v>
      </c>
      <c r="F188">
        <v>43</v>
      </c>
      <c r="G188">
        <v>1</v>
      </c>
      <c r="H188">
        <v>0</v>
      </c>
      <c r="I188">
        <v>0</v>
      </c>
      <c r="J188">
        <v>0</v>
      </c>
      <c r="K188">
        <v>153</v>
      </c>
      <c r="L188">
        <v>24</v>
      </c>
      <c r="M188">
        <v>1</v>
      </c>
      <c r="N188" t="s">
        <v>5</v>
      </c>
      <c r="O188">
        <v>1</v>
      </c>
      <c r="P188">
        <v>17</v>
      </c>
      <c r="Q188">
        <v>31</v>
      </c>
      <c r="R188">
        <v>31</v>
      </c>
      <c r="S188">
        <v>73</v>
      </c>
      <c r="T188" t="s">
        <v>39</v>
      </c>
      <c r="U188">
        <v>410</v>
      </c>
      <c r="V188">
        <v>5</v>
      </c>
      <c r="W188">
        <f t="shared" si="266"/>
        <v>9</v>
      </c>
      <c r="X188">
        <f t="shared" si="267"/>
        <v>50</v>
      </c>
      <c r="Y188">
        <f t="shared" si="268"/>
        <v>5</v>
      </c>
      <c r="Z188">
        <f t="shared" si="269"/>
        <v>2</v>
      </c>
      <c r="AA188">
        <f t="shared" si="270"/>
        <v>2</v>
      </c>
      <c r="AB188">
        <f t="shared" si="271"/>
        <v>0</v>
      </c>
      <c r="AC188">
        <f t="shared" si="272"/>
        <v>0</v>
      </c>
      <c r="AD188">
        <f t="shared" si="273"/>
        <v>92.5</v>
      </c>
      <c r="AE188">
        <f t="shared" si="274"/>
        <v>282</v>
      </c>
      <c r="AF188">
        <f t="shared" si="275"/>
        <v>8</v>
      </c>
      <c r="AG188">
        <f t="shared" si="276"/>
        <v>-21.5</v>
      </c>
      <c r="AH188">
        <f t="shared" si="277"/>
        <v>-1</v>
      </c>
      <c r="AI188">
        <f t="shared" si="278"/>
        <v>0</v>
      </c>
      <c r="AJ188">
        <f t="shared" si="279"/>
        <v>0</v>
      </c>
      <c r="AK188">
        <f t="shared" si="280"/>
        <v>0</v>
      </c>
      <c r="AL188">
        <f t="shared" si="281"/>
        <v>59</v>
      </c>
      <c r="AM188">
        <f t="shared" si="282"/>
        <v>419</v>
      </c>
      <c r="AN188">
        <f t="shared" si="283"/>
        <v>324</v>
      </c>
      <c r="AO188" s="1">
        <f t="shared" si="284"/>
        <v>1.2932098765432098</v>
      </c>
    </row>
    <row r="189" spans="1:41" x14ac:dyDescent="0.25">
      <c r="A189" t="s">
        <v>1</v>
      </c>
      <c r="B189">
        <v>6</v>
      </c>
      <c r="C189">
        <v>246</v>
      </c>
      <c r="D189">
        <v>91</v>
      </c>
      <c r="E189">
        <v>3</v>
      </c>
      <c r="F189">
        <v>50</v>
      </c>
      <c r="G189">
        <v>6</v>
      </c>
      <c r="H189">
        <v>0</v>
      </c>
      <c r="I189">
        <v>0</v>
      </c>
      <c r="J189">
        <v>0</v>
      </c>
      <c r="K189">
        <v>302</v>
      </c>
      <c r="L189">
        <v>24</v>
      </c>
      <c r="M189">
        <v>0</v>
      </c>
      <c r="N189" t="s">
        <v>6</v>
      </c>
      <c r="O189">
        <v>2</v>
      </c>
      <c r="P189">
        <v>31</v>
      </c>
      <c r="Q189">
        <v>57</v>
      </c>
      <c r="R189">
        <v>67</v>
      </c>
      <c r="S189">
        <v>72</v>
      </c>
      <c r="T189">
        <v>73</v>
      </c>
      <c r="U189">
        <v>410</v>
      </c>
      <c r="V189">
        <v>5</v>
      </c>
      <c r="W189">
        <f t="shared" si="266"/>
        <v>6</v>
      </c>
      <c r="X189">
        <f t="shared" si="267"/>
        <v>25</v>
      </c>
      <c r="Y189">
        <f t="shared" si="268"/>
        <v>2</v>
      </c>
      <c r="Z189">
        <f t="shared" si="269"/>
        <v>0</v>
      </c>
      <c r="AA189">
        <f t="shared" si="270"/>
        <v>0</v>
      </c>
      <c r="AB189">
        <f t="shared" si="271"/>
        <v>0</v>
      </c>
      <c r="AC189">
        <f t="shared" si="272"/>
        <v>0</v>
      </c>
      <c r="AD189">
        <f t="shared" si="273"/>
        <v>123</v>
      </c>
      <c r="AE189">
        <f t="shared" si="274"/>
        <v>273</v>
      </c>
      <c r="AF189">
        <f t="shared" si="275"/>
        <v>24</v>
      </c>
      <c r="AG189">
        <f t="shared" si="276"/>
        <v>-25</v>
      </c>
      <c r="AH189">
        <f t="shared" si="277"/>
        <v>-6</v>
      </c>
      <c r="AI189">
        <f t="shared" si="278"/>
        <v>0</v>
      </c>
      <c r="AJ189">
        <f t="shared" si="279"/>
        <v>0</v>
      </c>
      <c r="AK189">
        <f t="shared" si="280"/>
        <v>0</v>
      </c>
      <c r="AL189">
        <f t="shared" si="281"/>
        <v>27</v>
      </c>
      <c r="AM189">
        <f t="shared" si="282"/>
        <v>416</v>
      </c>
      <c r="AN189">
        <f t="shared" si="283"/>
        <v>396</v>
      </c>
      <c r="AO189" s="1">
        <f t="shared" si="284"/>
        <v>1.0505050505050506</v>
      </c>
    </row>
    <row r="190" spans="1:41" x14ac:dyDescent="0.25">
      <c r="A190" t="s">
        <v>3</v>
      </c>
      <c r="B190">
        <v>5</v>
      </c>
      <c r="C190">
        <v>226</v>
      </c>
      <c r="D190">
        <v>91</v>
      </c>
      <c r="E190">
        <v>1</v>
      </c>
      <c r="F190">
        <v>39</v>
      </c>
      <c r="G190">
        <v>3</v>
      </c>
      <c r="H190">
        <v>0</v>
      </c>
      <c r="I190">
        <v>0</v>
      </c>
      <c r="J190">
        <v>0</v>
      </c>
      <c r="K190">
        <v>164</v>
      </c>
      <c r="L190">
        <v>24</v>
      </c>
      <c r="M190">
        <v>1</v>
      </c>
      <c r="N190" t="s">
        <v>7</v>
      </c>
      <c r="O190">
        <v>2</v>
      </c>
      <c r="P190">
        <v>20</v>
      </c>
      <c r="Q190">
        <v>31</v>
      </c>
      <c r="R190">
        <v>44</v>
      </c>
      <c r="S190">
        <v>67</v>
      </c>
      <c r="T190" t="s">
        <v>39</v>
      </c>
      <c r="U190">
        <v>410</v>
      </c>
      <c r="V190">
        <v>5</v>
      </c>
      <c r="W190">
        <f t="shared" si="266"/>
        <v>-5.5</v>
      </c>
      <c r="X190">
        <f t="shared" si="267"/>
        <v>25</v>
      </c>
      <c r="Y190">
        <f t="shared" si="268"/>
        <v>5</v>
      </c>
      <c r="Z190">
        <f t="shared" si="269"/>
        <v>2</v>
      </c>
      <c r="AA190">
        <f t="shared" si="270"/>
        <v>1</v>
      </c>
      <c r="AB190">
        <f t="shared" si="271"/>
        <v>0</v>
      </c>
      <c r="AC190">
        <f t="shared" si="272"/>
        <v>0</v>
      </c>
      <c r="AD190">
        <f t="shared" si="273"/>
        <v>113</v>
      </c>
      <c r="AE190">
        <f t="shared" si="274"/>
        <v>273</v>
      </c>
      <c r="AF190">
        <f t="shared" si="275"/>
        <v>8</v>
      </c>
      <c r="AG190">
        <f t="shared" si="276"/>
        <v>-19.5</v>
      </c>
      <c r="AH190">
        <f t="shared" si="277"/>
        <v>-3</v>
      </c>
      <c r="AI190">
        <f t="shared" si="278"/>
        <v>0</v>
      </c>
      <c r="AJ190">
        <f t="shared" si="279"/>
        <v>0</v>
      </c>
      <c r="AK190">
        <f t="shared" si="280"/>
        <v>0</v>
      </c>
      <c r="AL190">
        <f t="shared" si="281"/>
        <v>33</v>
      </c>
      <c r="AM190">
        <f t="shared" si="282"/>
        <v>404.5</v>
      </c>
      <c r="AN190">
        <f t="shared" si="283"/>
        <v>360</v>
      </c>
      <c r="AO190" s="1">
        <f t="shared" si="284"/>
        <v>1.1236111111111111</v>
      </c>
    </row>
    <row r="191" spans="1:41" x14ac:dyDescent="0.25">
      <c r="A191" t="s">
        <v>7</v>
      </c>
      <c r="B191">
        <v>6</v>
      </c>
      <c r="C191">
        <v>238</v>
      </c>
      <c r="D191">
        <v>79</v>
      </c>
      <c r="E191">
        <v>0</v>
      </c>
      <c r="F191">
        <v>40</v>
      </c>
      <c r="G191">
        <v>3</v>
      </c>
      <c r="H191">
        <v>0</v>
      </c>
      <c r="I191">
        <v>0</v>
      </c>
      <c r="J191">
        <v>0</v>
      </c>
      <c r="K191">
        <v>305</v>
      </c>
      <c r="L191">
        <v>24</v>
      </c>
      <c r="M191">
        <v>0</v>
      </c>
      <c r="N191" t="s">
        <v>3</v>
      </c>
      <c r="O191">
        <v>10</v>
      </c>
      <c r="P191">
        <v>31</v>
      </c>
      <c r="Q191">
        <v>44</v>
      </c>
      <c r="R191">
        <v>73</v>
      </c>
      <c r="S191">
        <v>73</v>
      </c>
      <c r="T191">
        <v>73</v>
      </c>
      <c r="U191">
        <v>410</v>
      </c>
      <c r="V191">
        <v>3</v>
      </c>
      <c r="W191">
        <f t="shared" si="266"/>
        <v>-67</v>
      </c>
      <c r="X191">
        <f t="shared" si="267"/>
        <v>7</v>
      </c>
      <c r="Y191">
        <f t="shared" si="268"/>
        <v>2</v>
      </c>
      <c r="Z191">
        <f t="shared" si="269"/>
        <v>1</v>
      </c>
      <c r="AA191">
        <f t="shared" si="270"/>
        <v>0</v>
      </c>
      <c r="AB191">
        <f t="shared" si="271"/>
        <v>0</v>
      </c>
      <c r="AC191">
        <f t="shared" si="272"/>
        <v>0</v>
      </c>
      <c r="AD191">
        <f t="shared" si="273"/>
        <v>119</v>
      </c>
      <c r="AE191">
        <f t="shared" si="274"/>
        <v>237</v>
      </c>
      <c r="AF191">
        <f t="shared" si="275"/>
        <v>0</v>
      </c>
      <c r="AG191">
        <f t="shared" si="276"/>
        <v>-20</v>
      </c>
      <c r="AH191">
        <f t="shared" si="277"/>
        <v>-3</v>
      </c>
      <c r="AI191">
        <f t="shared" si="278"/>
        <v>0</v>
      </c>
      <c r="AJ191">
        <f t="shared" si="279"/>
        <v>0</v>
      </c>
      <c r="AK191">
        <f t="shared" si="280"/>
        <v>0</v>
      </c>
      <c r="AL191">
        <f t="shared" si="281"/>
        <v>10</v>
      </c>
      <c r="AM191">
        <f t="shared" si="282"/>
        <v>343</v>
      </c>
      <c r="AN191">
        <f t="shared" si="283"/>
        <v>360</v>
      </c>
      <c r="AO191" s="1">
        <f t="shared" si="284"/>
        <v>0.95277777777777772</v>
      </c>
    </row>
    <row r="192" spans="1:41" x14ac:dyDescent="0.25">
      <c r="A192" t="s">
        <v>5</v>
      </c>
      <c r="B192">
        <v>6</v>
      </c>
      <c r="C192">
        <v>191</v>
      </c>
      <c r="D192">
        <v>79</v>
      </c>
      <c r="E192">
        <v>1</v>
      </c>
      <c r="F192">
        <v>50</v>
      </c>
      <c r="G192">
        <v>3</v>
      </c>
      <c r="H192">
        <v>0</v>
      </c>
      <c r="I192">
        <v>0</v>
      </c>
      <c r="J192">
        <v>0</v>
      </c>
      <c r="K192">
        <v>361</v>
      </c>
      <c r="L192">
        <v>24</v>
      </c>
      <c r="M192">
        <v>0</v>
      </c>
      <c r="N192" t="s">
        <v>0</v>
      </c>
      <c r="O192">
        <v>31</v>
      </c>
      <c r="P192">
        <v>44</v>
      </c>
      <c r="Q192">
        <v>67</v>
      </c>
      <c r="R192">
        <v>73</v>
      </c>
      <c r="S192">
        <v>73</v>
      </c>
      <c r="T192">
        <v>73</v>
      </c>
      <c r="U192">
        <v>410</v>
      </c>
      <c r="V192">
        <v>3</v>
      </c>
      <c r="W192">
        <f t="shared" si="266"/>
        <v>-94.5</v>
      </c>
      <c r="X192">
        <f t="shared" si="267"/>
        <v>2</v>
      </c>
      <c r="Y192">
        <f t="shared" si="268"/>
        <v>1</v>
      </c>
      <c r="Z192">
        <f t="shared" si="269"/>
        <v>0</v>
      </c>
      <c r="AA192">
        <f t="shared" si="270"/>
        <v>0</v>
      </c>
      <c r="AB192">
        <f t="shared" si="271"/>
        <v>0</v>
      </c>
      <c r="AC192">
        <f t="shared" si="272"/>
        <v>0</v>
      </c>
      <c r="AD192">
        <f t="shared" si="273"/>
        <v>95.5</v>
      </c>
      <c r="AE192">
        <f t="shared" si="274"/>
        <v>237</v>
      </c>
      <c r="AF192">
        <f t="shared" si="275"/>
        <v>8</v>
      </c>
      <c r="AG192">
        <f t="shared" si="276"/>
        <v>-25</v>
      </c>
      <c r="AH192">
        <f t="shared" si="277"/>
        <v>-3</v>
      </c>
      <c r="AI192">
        <f t="shared" si="278"/>
        <v>0</v>
      </c>
      <c r="AJ192">
        <f t="shared" si="279"/>
        <v>0</v>
      </c>
      <c r="AK192">
        <f t="shared" si="280"/>
        <v>0</v>
      </c>
      <c r="AL192">
        <f t="shared" si="281"/>
        <v>3</v>
      </c>
      <c r="AM192">
        <f t="shared" si="282"/>
        <v>315.5</v>
      </c>
      <c r="AN192">
        <f t="shared" si="283"/>
        <v>324</v>
      </c>
      <c r="AO192" s="1">
        <f t="shared" si="284"/>
        <v>0.97376543209876543</v>
      </c>
    </row>
    <row r="193" spans="1:41" x14ac:dyDescent="0.25">
      <c r="A193" t="s">
        <v>2</v>
      </c>
      <c r="B193">
        <v>6</v>
      </c>
      <c r="C193">
        <v>190</v>
      </c>
      <c r="D193">
        <v>58</v>
      </c>
      <c r="E193">
        <v>3</v>
      </c>
      <c r="F193">
        <v>36</v>
      </c>
      <c r="G193">
        <v>1</v>
      </c>
      <c r="H193">
        <v>0</v>
      </c>
      <c r="I193">
        <v>0</v>
      </c>
      <c r="J193">
        <v>0</v>
      </c>
      <c r="K193">
        <v>329</v>
      </c>
      <c r="L193">
        <v>24</v>
      </c>
      <c r="M193">
        <v>0</v>
      </c>
      <c r="N193" t="s">
        <v>4</v>
      </c>
      <c r="O193">
        <v>6</v>
      </c>
      <c r="P193">
        <v>31</v>
      </c>
      <c r="Q193">
        <v>73</v>
      </c>
      <c r="R193">
        <v>73</v>
      </c>
      <c r="S193">
        <v>73</v>
      </c>
      <c r="T193">
        <v>73</v>
      </c>
      <c r="U193">
        <v>410</v>
      </c>
      <c r="V193">
        <v>2</v>
      </c>
      <c r="W193">
        <f t="shared" si="266"/>
        <v>-122</v>
      </c>
      <c r="X193">
        <f t="shared" si="267"/>
        <v>12</v>
      </c>
      <c r="Y193">
        <f t="shared" si="268"/>
        <v>2</v>
      </c>
      <c r="Z193">
        <f t="shared" si="269"/>
        <v>0</v>
      </c>
      <c r="AA193">
        <f t="shared" si="270"/>
        <v>0</v>
      </c>
      <c r="AB193">
        <f t="shared" si="271"/>
        <v>0</v>
      </c>
      <c r="AC193">
        <f t="shared" si="272"/>
        <v>0</v>
      </c>
      <c r="AD193">
        <f t="shared" si="273"/>
        <v>95</v>
      </c>
      <c r="AE193">
        <f t="shared" si="274"/>
        <v>174</v>
      </c>
      <c r="AF193">
        <f t="shared" si="275"/>
        <v>24</v>
      </c>
      <c r="AG193">
        <f t="shared" si="276"/>
        <v>-18</v>
      </c>
      <c r="AH193">
        <f t="shared" si="277"/>
        <v>-1</v>
      </c>
      <c r="AI193">
        <f t="shared" si="278"/>
        <v>0</v>
      </c>
      <c r="AJ193">
        <f t="shared" si="279"/>
        <v>0</v>
      </c>
      <c r="AK193">
        <f t="shared" si="280"/>
        <v>0</v>
      </c>
      <c r="AL193">
        <f t="shared" si="281"/>
        <v>14</v>
      </c>
      <c r="AM193">
        <f t="shared" si="282"/>
        <v>288</v>
      </c>
      <c r="AN193">
        <f t="shared" si="283"/>
        <v>288</v>
      </c>
      <c r="AO193" s="1">
        <f t="shared" si="284"/>
        <v>1</v>
      </c>
    </row>
    <row r="194" spans="1:41" x14ac:dyDescent="0.25">
      <c r="A194" t="s">
        <v>4</v>
      </c>
      <c r="B194">
        <v>6</v>
      </c>
      <c r="C194">
        <v>221</v>
      </c>
      <c r="D194">
        <v>131</v>
      </c>
      <c r="E194">
        <v>5</v>
      </c>
      <c r="F194">
        <v>35</v>
      </c>
      <c r="G194">
        <v>2</v>
      </c>
      <c r="H194">
        <v>0</v>
      </c>
      <c r="I194">
        <v>0</v>
      </c>
      <c r="J194">
        <v>2</v>
      </c>
      <c r="K194">
        <v>159</v>
      </c>
      <c r="L194">
        <v>25</v>
      </c>
      <c r="M194">
        <v>1</v>
      </c>
      <c r="N194" t="s">
        <v>3</v>
      </c>
      <c r="O194">
        <v>1</v>
      </c>
      <c r="P194">
        <v>7</v>
      </c>
      <c r="Q194">
        <v>12</v>
      </c>
      <c r="R194">
        <v>30</v>
      </c>
      <c r="S194">
        <v>32</v>
      </c>
      <c r="T194">
        <v>77</v>
      </c>
      <c r="U194">
        <v>428</v>
      </c>
      <c r="V194">
        <v>5</v>
      </c>
      <c r="W194">
        <f t="shared" ref="W194:W201" si="285">AM194-U194</f>
        <v>165</v>
      </c>
      <c r="X194">
        <f t="shared" ref="X194:X201" si="286">IF(O194=1,50,IF(O194=2,25,IF(O194=3,18,IF(O194=4,16,IF(O194=5,14,IF(O194=6,12,IF(O194=7,10,IF(O194=8,9,IF(O194=10,7,IF(O194&lt;=15,6,IF(O194&lt;=20,5,IF(O194&lt;=25,4,IF(O194&lt;=30,3,IF(O194&lt;=40,2,IF(O194&lt;=50,1,IF(O194&gt;50,0))))))))))))))))</f>
        <v>50</v>
      </c>
      <c r="Y194">
        <f t="shared" ref="Y194:Y201" si="287">IF(P194=1,50,IF(P194=2,25,IF(P194=3,18,IF(P194=4,16,IF(P194=5,14,IF(P194=6,12,IF(P194=7,10,IF(P194=8,9,IF(P194=10,7,IF(P194&lt;=15,6,IF(P194&lt;=20,5,IF(P194&lt;=25,4,IF(P194&lt;=30,3,IF(P194&lt;=40,2,IF(P194&lt;=50,1,IF(P194&gt;50,0))))))))))))))))</f>
        <v>10</v>
      </c>
      <c r="Z194">
        <f t="shared" ref="Z194:Z201" si="288">IF(Q194=1,50,IF(Q194=2,25,IF(Q194=3,18,IF(Q194=4,16,IF(Q194=5,14,IF(Q194=6,12,IF(Q194=7,10,IF(Q194=8,9,IF(Q194=10,7,IF(Q194&lt;=15,6,IF(Q194&lt;=20,5,IF(Q194&lt;=25,4,IF(Q194&lt;=30,3,IF(Q194&lt;=40,2,IF(Q194&lt;=50,1,IF(Q194&gt;50,0))))))))))))))))</f>
        <v>6</v>
      </c>
      <c r="AA194">
        <f t="shared" ref="AA194:AA201" si="289">IF(R194=1,50,IF(R194=2,25,IF(R194=3,18,IF(R194=4,16,IF(R194=5,14,IF(R194=6,12,IF(R194=7,10,IF(R194=8,9,IF(R194=10,7,IF(R194&lt;=15,6,IF(R194&lt;=20,5,IF(R194&lt;=25,4,IF(R194&lt;=30,3,IF(R194&lt;=40,2,IF(R194&lt;=50,1,IF(R194&gt;50,0))))))))))))))))</f>
        <v>3</v>
      </c>
      <c r="AB194">
        <f t="shared" ref="AB194:AB201" si="290">IF(S194=1,50,IF(S194=2,25,IF(S194=3,18,IF(S194=4,16,IF(S194=5,14,IF(S194=6,12,IF(S194=7,10,IF(S194=8,9,IF(S194=10,7,IF(S194&lt;=15,6,IF(S194&lt;=20,5,IF(S194&lt;=25,4,IF(S194&lt;=30,3,IF(S194&lt;=40,2,IF(S194&lt;=50,1,IF(S194&gt;50,0))))))))))))))))</f>
        <v>2</v>
      </c>
      <c r="AC194">
        <f t="shared" ref="AC194:AC201" si="291">IF(T194=1,50,IF(T194=2,25,IF(T194=3,18,IF(T194=4,16,IF(T194=5,14,IF(T194=6,12,IF(T194=7,10,IF(T194=8,9,IF(T194=10,7,IF(T194&lt;=15,6,IF(T194&lt;=20,5,IF(T194&lt;=25,4,IF(T194&lt;=30,3,IF(T194&lt;=40,2,IF(T194&lt;=50,1,IF(T194&gt;50,0))))))))))))))))</f>
        <v>0</v>
      </c>
      <c r="AD194">
        <f t="shared" ref="AD194:AD201" si="292">C194*0.5</f>
        <v>110.5</v>
      </c>
      <c r="AE194">
        <f t="shared" ref="AE194:AE201" si="293">D194*3</f>
        <v>393</v>
      </c>
      <c r="AF194">
        <f t="shared" ref="AF194:AF201" si="294">E194*8</f>
        <v>40</v>
      </c>
      <c r="AG194">
        <f t="shared" ref="AG194:AG201" si="295">-1*(F194/2)</f>
        <v>-17.5</v>
      </c>
      <c r="AH194">
        <f t="shared" ref="AH194:AH201" si="296">G194*-1</f>
        <v>-2</v>
      </c>
      <c r="AI194">
        <f t="shared" ref="AI194:AI201" si="297">H194*13</f>
        <v>0</v>
      </c>
      <c r="AJ194">
        <f t="shared" ref="AJ194:AJ201" si="298">I194*5</f>
        <v>0</v>
      </c>
      <c r="AK194">
        <f t="shared" ref="AK194:AK201" si="299">J194*-1</f>
        <v>-2</v>
      </c>
      <c r="AL194">
        <f t="shared" ref="AL194:AL201" si="300">SUM(X194:AC194)</f>
        <v>71</v>
      </c>
      <c r="AM194">
        <f t="shared" ref="AM194:AM201" si="301">SUM(AD194:AL194)</f>
        <v>593</v>
      </c>
      <c r="AN194">
        <f t="shared" ref="AN194:AN201" si="302">SUM(C194:G194,J194)</f>
        <v>396</v>
      </c>
      <c r="AO194" s="1">
        <f t="shared" ref="AO194:AO201" si="303">AM194/AN194</f>
        <v>1.4974747474747474</v>
      </c>
    </row>
    <row r="195" spans="1:41" x14ac:dyDescent="0.25">
      <c r="A195" t="s">
        <v>3</v>
      </c>
      <c r="B195">
        <v>6</v>
      </c>
      <c r="C195">
        <v>286</v>
      </c>
      <c r="D195">
        <v>118</v>
      </c>
      <c r="E195">
        <v>2</v>
      </c>
      <c r="F195">
        <v>25</v>
      </c>
      <c r="G195">
        <v>1</v>
      </c>
      <c r="H195">
        <v>0</v>
      </c>
      <c r="I195">
        <v>0</v>
      </c>
      <c r="J195">
        <v>0</v>
      </c>
      <c r="K195">
        <v>141</v>
      </c>
      <c r="L195">
        <v>25</v>
      </c>
      <c r="M195">
        <v>0</v>
      </c>
      <c r="N195" t="s">
        <v>4</v>
      </c>
      <c r="O195">
        <v>7</v>
      </c>
      <c r="P195">
        <v>17</v>
      </c>
      <c r="Q195">
        <v>23</v>
      </c>
      <c r="R195">
        <v>26</v>
      </c>
      <c r="S195">
        <v>34</v>
      </c>
      <c r="T195">
        <v>34</v>
      </c>
      <c r="U195">
        <v>428</v>
      </c>
      <c r="V195">
        <v>6</v>
      </c>
      <c r="W195">
        <f t="shared" si="285"/>
        <v>97.5</v>
      </c>
      <c r="X195">
        <f t="shared" si="286"/>
        <v>10</v>
      </c>
      <c r="Y195">
        <f t="shared" si="287"/>
        <v>5</v>
      </c>
      <c r="Z195">
        <f t="shared" si="288"/>
        <v>4</v>
      </c>
      <c r="AA195">
        <f t="shared" si="289"/>
        <v>3</v>
      </c>
      <c r="AB195">
        <f t="shared" si="290"/>
        <v>2</v>
      </c>
      <c r="AC195">
        <f t="shared" si="291"/>
        <v>2</v>
      </c>
      <c r="AD195">
        <f t="shared" si="292"/>
        <v>143</v>
      </c>
      <c r="AE195">
        <f t="shared" si="293"/>
        <v>354</v>
      </c>
      <c r="AF195">
        <f t="shared" si="294"/>
        <v>16</v>
      </c>
      <c r="AG195">
        <f t="shared" si="295"/>
        <v>-12.5</v>
      </c>
      <c r="AH195">
        <f t="shared" si="296"/>
        <v>-1</v>
      </c>
      <c r="AI195">
        <f t="shared" si="297"/>
        <v>0</v>
      </c>
      <c r="AJ195">
        <f t="shared" si="298"/>
        <v>0</v>
      </c>
      <c r="AK195">
        <f t="shared" si="299"/>
        <v>0</v>
      </c>
      <c r="AL195">
        <f t="shared" si="300"/>
        <v>26</v>
      </c>
      <c r="AM195">
        <f t="shared" si="301"/>
        <v>525.5</v>
      </c>
      <c r="AN195">
        <f t="shared" si="302"/>
        <v>432</v>
      </c>
      <c r="AO195" s="1">
        <f t="shared" si="303"/>
        <v>1.2164351851851851</v>
      </c>
    </row>
    <row r="196" spans="1:41" x14ac:dyDescent="0.25">
      <c r="A196" t="s">
        <v>1</v>
      </c>
      <c r="B196">
        <v>6</v>
      </c>
      <c r="C196">
        <v>217</v>
      </c>
      <c r="D196">
        <v>101</v>
      </c>
      <c r="E196">
        <v>5</v>
      </c>
      <c r="F196">
        <v>35</v>
      </c>
      <c r="G196">
        <v>2</v>
      </c>
      <c r="H196">
        <v>0</v>
      </c>
      <c r="I196">
        <v>0</v>
      </c>
      <c r="J196">
        <v>0</v>
      </c>
      <c r="K196">
        <v>235</v>
      </c>
      <c r="L196">
        <v>25</v>
      </c>
      <c r="M196">
        <v>1</v>
      </c>
      <c r="N196" t="s">
        <v>0</v>
      </c>
      <c r="O196">
        <v>2</v>
      </c>
      <c r="P196">
        <v>7</v>
      </c>
      <c r="Q196">
        <v>20</v>
      </c>
      <c r="R196">
        <v>52</v>
      </c>
      <c r="S196">
        <v>77</v>
      </c>
      <c r="T196">
        <v>77</v>
      </c>
      <c r="U196">
        <v>428</v>
      </c>
      <c r="V196">
        <v>4</v>
      </c>
      <c r="W196">
        <f t="shared" si="285"/>
        <v>44</v>
      </c>
      <c r="X196">
        <f t="shared" si="286"/>
        <v>25</v>
      </c>
      <c r="Y196">
        <f t="shared" si="287"/>
        <v>10</v>
      </c>
      <c r="Z196">
        <f t="shared" si="288"/>
        <v>5</v>
      </c>
      <c r="AA196">
        <f t="shared" si="289"/>
        <v>0</v>
      </c>
      <c r="AB196">
        <f t="shared" si="290"/>
        <v>0</v>
      </c>
      <c r="AC196">
        <f t="shared" si="291"/>
        <v>0</v>
      </c>
      <c r="AD196">
        <f t="shared" si="292"/>
        <v>108.5</v>
      </c>
      <c r="AE196">
        <f t="shared" si="293"/>
        <v>303</v>
      </c>
      <c r="AF196">
        <f t="shared" si="294"/>
        <v>40</v>
      </c>
      <c r="AG196">
        <f t="shared" si="295"/>
        <v>-17.5</v>
      </c>
      <c r="AH196">
        <f t="shared" si="296"/>
        <v>-2</v>
      </c>
      <c r="AI196">
        <f t="shared" si="297"/>
        <v>0</v>
      </c>
      <c r="AJ196">
        <f t="shared" si="298"/>
        <v>0</v>
      </c>
      <c r="AK196">
        <f t="shared" si="299"/>
        <v>0</v>
      </c>
      <c r="AL196">
        <f t="shared" si="300"/>
        <v>40</v>
      </c>
      <c r="AM196">
        <f t="shared" si="301"/>
        <v>472</v>
      </c>
      <c r="AN196">
        <f t="shared" si="302"/>
        <v>360</v>
      </c>
      <c r="AO196" s="1">
        <f t="shared" si="303"/>
        <v>1.3111111111111111</v>
      </c>
    </row>
    <row r="197" spans="1:41" x14ac:dyDescent="0.25">
      <c r="A197" t="s">
        <v>2</v>
      </c>
      <c r="B197">
        <v>6</v>
      </c>
      <c r="C197">
        <v>220</v>
      </c>
      <c r="D197">
        <v>101</v>
      </c>
      <c r="E197">
        <v>5</v>
      </c>
      <c r="F197">
        <v>31</v>
      </c>
      <c r="G197">
        <v>3</v>
      </c>
      <c r="H197">
        <v>0</v>
      </c>
      <c r="I197">
        <v>0</v>
      </c>
      <c r="J197">
        <v>0</v>
      </c>
      <c r="K197">
        <v>234</v>
      </c>
      <c r="L197">
        <v>25</v>
      </c>
      <c r="M197">
        <v>1</v>
      </c>
      <c r="N197" t="s">
        <v>5</v>
      </c>
      <c r="O197">
        <v>5</v>
      </c>
      <c r="P197">
        <v>7</v>
      </c>
      <c r="Q197">
        <v>34</v>
      </c>
      <c r="R197">
        <v>34</v>
      </c>
      <c r="S197">
        <v>77</v>
      </c>
      <c r="T197">
        <v>77</v>
      </c>
      <c r="U197">
        <v>428</v>
      </c>
      <c r="V197">
        <v>4</v>
      </c>
      <c r="W197">
        <f t="shared" si="285"/>
        <v>34.5</v>
      </c>
      <c r="X197">
        <f t="shared" si="286"/>
        <v>14</v>
      </c>
      <c r="Y197">
        <f t="shared" si="287"/>
        <v>10</v>
      </c>
      <c r="Z197">
        <f t="shared" si="288"/>
        <v>2</v>
      </c>
      <c r="AA197">
        <f t="shared" si="289"/>
        <v>2</v>
      </c>
      <c r="AB197">
        <f t="shared" si="290"/>
        <v>0</v>
      </c>
      <c r="AC197">
        <f t="shared" si="291"/>
        <v>0</v>
      </c>
      <c r="AD197">
        <f t="shared" si="292"/>
        <v>110</v>
      </c>
      <c r="AE197">
        <f t="shared" si="293"/>
        <v>303</v>
      </c>
      <c r="AF197">
        <f t="shared" si="294"/>
        <v>40</v>
      </c>
      <c r="AG197">
        <f t="shared" si="295"/>
        <v>-15.5</v>
      </c>
      <c r="AH197">
        <f t="shared" si="296"/>
        <v>-3</v>
      </c>
      <c r="AI197">
        <f t="shared" si="297"/>
        <v>0</v>
      </c>
      <c r="AJ197">
        <f t="shared" si="298"/>
        <v>0</v>
      </c>
      <c r="AK197">
        <f t="shared" si="299"/>
        <v>0</v>
      </c>
      <c r="AL197">
        <f t="shared" si="300"/>
        <v>28</v>
      </c>
      <c r="AM197">
        <f t="shared" si="301"/>
        <v>462.5</v>
      </c>
      <c r="AN197">
        <f t="shared" si="302"/>
        <v>360</v>
      </c>
      <c r="AO197" s="1">
        <f t="shared" si="303"/>
        <v>1.2847222222222223</v>
      </c>
    </row>
    <row r="198" spans="1:41" x14ac:dyDescent="0.25">
      <c r="A198" t="s">
        <v>5</v>
      </c>
      <c r="B198">
        <v>6</v>
      </c>
      <c r="C198">
        <v>212</v>
      </c>
      <c r="D198">
        <v>97</v>
      </c>
      <c r="E198">
        <v>2</v>
      </c>
      <c r="F198">
        <v>45</v>
      </c>
      <c r="G198">
        <v>4</v>
      </c>
      <c r="H198">
        <v>0</v>
      </c>
      <c r="I198">
        <v>0</v>
      </c>
      <c r="J198">
        <v>0</v>
      </c>
      <c r="K198">
        <v>334</v>
      </c>
      <c r="L198">
        <v>25</v>
      </c>
      <c r="M198">
        <v>0</v>
      </c>
      <c r="N198" t="s">
        <v>2</v>
      </c>
      <c r="O198">
        <v>12</v>
      </c>
      <c r="P198">
        <v>34</v>
      </c>
      <c r="Q198">
        <v>61</v>
      </c>
      <c r="R198">
        <v>73</v>
      </c>
      <c r="S198">
        <v>77</v>
      </c>
      <c r="T198">
        <v>77</v>
      </c>
      <c r="U198">
        <v>428</v>
      </c>
      <c r="V198">
        <v>4</v>
      </c>
      <c r="W198">
        <f t="shared" si="285"/>
        <v>-33.5</v>
      </c>
      <c r="X198">
        <f t="shared" si="286"/>
        <v>6</v>
      </c>
      <c r="Y198">
        <f t="shared" si="287"/>
        <v>2</v>
      </c>
      <c r="Z198">
        <f t="shared" si="288"/>
        <v>0</v>
      </c>
      <c r="AA198">
        <f t="shared" si="289"/>
        <v>0</v>
      </c>
      <c r="AB198">
        <f t="shared" si="290"/>
        <v>0</v>
      </c>
      <c r="AC198">
        <f t="shared" si="291"/>
        <v>0</v>
      </c>
      <c r="AD198">
        <f t="shared" si="292"/>
        <v>106</v>
      </c>
      <c r="AE198">
        <f t="shared" si="293"/>
        <v>291</v>
      </c>
      <c r="AF198">
        <f t="shared" si="294"/>
        <v>16</v>
      </c>
      <c r="AG198">
        <f t="shared" si="295"/>
        <v>-22.5</v>
      </c>
      <c r="AH198">
        <f t="shared" si="296"/>
        <v>-4</v>
      </c>
      <c r="AI198">
        <f t="shared" si="297"/>
        <v>0</v>
      </c>
      <c r="AJ198">
        <f t="shared" si="298"/>
        <v>0</v>
      </c>
      <c r="AK198">
        <f t="shared" si="299"/>
        <v>0</v>
      </c>
      <c r="AL198">
        <f t="shared" si="300"/>
        <v>8</v>
      </c>
      <c r="AM198">
        <f t="shared" si="301"/>
        <v>394.5</v>
      </c>
      <c r="AN198">
        <f t="shared" si="302"/>
        <v>360</v>
      </c>
      <c r="AO198" s="1">
        <f t="shared" si="303"/>
        <v>1.0958333333333334</v>
      </c>
    </row>
    <row r="199" spans="1:41" x14ac:dyDescent="0.25">
      <c r="A199" t="s">
        <v>7</v>
      </c>
      <c r="B199">
        <v>6</v>
      </c>
      <c r="C199">
        <v>174</v>
      </c>
      <c r="D199">
        <v>79</v>
      </c>
      <c r="E199">
        <v>1</v>
      </c>
      <c r="F199">
        <v>30</v>
      </c>
      <c r="G199">
        <v>4</v>
      </c>
      <c r="H199">
        <v>0</v>
      </c>
      <c r="I199">
        <v>0</v>
      </c>
      <c r="J199">
        <v>0</v>
      </c>
      <c r="K199">
        <v>336</v>
      </c>
      <c r="L199">
        <v>25</v>
      </c>
      <c r="M199">
        <v>1</v>
      </c>
      <c r="N199" t="s">
        <v>6</v>
      </c>
      <c r="O199">
        <v>5</v>
      </c>
      <c r="P199">
        <v>23</v>
      </c>
      <c r="Q199">
        <v>77</v>
      </c>
      <c r="R199">
        <v>77</v>
      </c>
      <c r="S199">
        <v>77</v>
      </c>
      <c r="T199">
        <v>77</v>
      </c>
      <c r="U199">
        <v>428</v>
      </c>
      <c r="V199">
        <v>2</v>
      </c>
      <c r="W199">
        <f t="shared" si="285"/>
        <v>-97</v>
      </c>
      <c r="X199">
        <f t="shared" si="286"/>
        <v>14</v>
      </c>
      <c r="Y199">
        <f t="shared" si="287"/>
        <v>4</v>
      </c>
      <c r="Z199">
        <f t="shared" si="288"/>
        <v>0</v>
      </c>
      <c r="AA199">
        <f t="shared" si="289"/>
        <v>0</v>
      </c>
      <c r="AB199">
        <f t="shared" si="290"/>
        <v>0</v>
      </c>
      <c r="AC199">
        <f t="shared" si="291"/>
        <v>0</v>
      </c>
      <c r="AD199">
        <f t="shared" si="292"/>
        <v>87</v>
      </c>
      <c r="AE199">
        <f t="shared" si="293"/>
        <v>237</v>
      </c>
      <c r="AF199">
        <f t="shared" si="294"/>
        <v>8</v>
      </c>
      <c r="AG199">
        <f t="shared" si="295"/>
        <v>-15</v>
      </c>
      <c r="AH199">
        <f t="shared" si="296"/>
        <v>-4</v>
      </c>
      <c r="AI199">
        <f t="shared" si="297"/>
        <v>0</v>
      </c>
      <c r="AJ199">
        <f t="shared" si="298"/>
        <v>0</v>
      </c>
      <c r="AK199">
        <f t="shared" si="299"/>
        <v>0</v>
      </c>
      <c r="AL199">
        <f t="shared" si="300"/>
        <v>18</v>
      </c>
      <c r="AM199">
        <f t="shared" si="301"/>
        <v>331</v>
      </c>
      <c r="AN199">
        <f t="shared" si="302"/>
        <v>288</v>
      </c>
      <c r="AO199" s="1">
        <f t="shared" si="303"/>
        <v>1.1493055555555556</v>
      </c>
    </row>
    <row r="200" spans="1:41" x14ac:dyDescent="0.25">
      <c r="A200" t="s">
        <v>6</v>
      </c>
      <c r="B200">
        <v>6</v>
      </c>
      <c r="C200">
        <v>201</v>
      </c>
      <c r="D200">
        <v>72</v>
      </c>
      <c r="E200">
        <v>2</v>
      </c>
      <c r="F200">
        <v>44</v>
      </c>
      <c r="G200">
        <v>5</v>
      </c>
      <c r="H200">
        <v>0</v>
      </c>
      <c r="I200">
        <v>0</v>
      </c>
      <c r="J200">
        <v>0</v>
      </c>
      <c r="K200">
        <v>426</v>
      </c>
      <c r="L200">
        <v>25</v>
      </c>
      <c r="M200">
        <v>0</v>
      </c>
      <c r="N200" t="s">
        <v>7</v>
      </c>
      <c r="O200">
        <v>61</v>
      </c>
      <c r="P200">
        <v>61</v>
      </c>
      <c r="Q200">
        <v>73</v>
      </c>
      <c r="R200">
        <v>77</v>
      </c>
      <c r="S200">
        <v>77</v>
      </c>
      <c r="T200">
        <v>77</v>
      </c>
      <c r="U200">
        <v>428</v>
      </c>
      <c r="V200">
        <v>3</v>
      </c>
      <c r="W200">
        <f t="shared" si="285"/>
        <v>-122.5</v>
      </c>
      <c r="X200">
        <f t="shared" si="286"/>
        <v>0</v>
      </c>
      <c r="Y200">
        <f t="shared" si="287"/>
        <v>0</v>
      </c>
      <c r="Z200">
        <f t="shared" si="288"/>
        <v>0</v>
      </c>
      <c r="AA200">
        <f t="shared" si="289"/>
        <v>0</v>
      </c>
      <c r="AB200">
        <f t="shared" si="290"/>
        <v>0</v>
      </c>
      <c r="AC200">
        <f t="shared" si="291"/>
        <v>0</v>
      </c>
      <c r="AD200">
        <f t="shared" si="292"/>
        <v>100.5</v>
      </c>
      <c r="AE200">
        <f t="shared" si="293"/>
        <v>216</v>
      </c>
      <c r="AF200">
        <f t="shared" si="294"/>
        <v>16</v>
      </c>
      <c r="AG200">
        <f t="shared" si="295"/>
        <v>-22</v>
      </c>
      <c r="AH200">
        <f t="shared" si="296"/>
        <v>-5</v>
      </c>
      <c r="AI200">
        <f t="shared" si="297"/>
        <v>0</v>
      </c>
      <c r="AJ200">
        <f t="shared" si="298"/>
        <v>0</v>
      </c>
      <c r="AK200">
        <f t="shared" si="299"/>
        <v>0</v>
      </c>
      <c r="AL200">
        <f t="shared" si="300"/>
        <v>0</v>
      </c>
      <c r="AM200">
        <f t="shared" si="301"/>
        <v>305.5</v>
      </c>
      <c r="AN200">
        <f t="shared" si="302"/>
        <v>324</v>
      </c>
      <c r="AO200" s="1">
        <f t="shared" si="303"/>
        <v>0.9429012345679012</v>
      </c>
    </row>
    <row r="201" spans="1:41" x14ac:dyDescent="0.25">
      <c r="A201" t="s">
        <v>0</v>
      </c>
      <c r="B201">
        <v>4</v>
      </c>
      <c r="C201">
        <v>143</v>
      </c>
      <c r="D201">
        <v>45</v>
      </c>
      <c r="E201">
        <v>2</v>
      </c>
      <c r="F201">
        <v>25</v>
      </c>
      <c r="G201">
        <v>1</v>
      </c>
      <c r="H201">
        <v>0</v>
      </c>
      <c r="I201">
        <v>0</v>
      </c>
      <c r="J201">
        <v>0</v>
      </c>
      <c r="K201">
        <v>224</v>
      </c>
      <c r="L201">
        <v>25</v>
      </c>
      <c r="M201">
        <v>0</v>
      </c>
      <c r="N201" t="s">
        <v>1</v>
      </c>
      <c r="O201">
        <v>18</v>
      </c>
      <c r="P201">
        <v>52</v>
      </c>
      <c r="Q201">
        <v>77</v>
      </c>
      <c r="R201">
        <v>77</v>
      </c>
      <c r="S201" t="s">
        <v>39</v>
      </c>
      <c r="T201" t="s">
        <v>39</v>
      </c>
      <c r="U201">
        <v>428</v>
      </c>
      <c r="V201">
        <v>2</v>
      </c>
      <c r="W201">
        <f t="shared" si="285"/>
        <v>-214</v>
      </c>
      <c r="X201">
        <f t="shared" si="286"/>
        <v>5</v>
      </c>
      <c r="Y201">
        <f t="shared" si="287"/>
        <v>0</v>
      </c>
      <c r="Z201">
        <f t="shared" si="288"/>
        <v>0</v>
      </c>
      <c r="AA201">
        <f t="shared" si="289"/>
        <v>0</v>
      </c>
      <c r="AB201">
        <f t="shared" si="290"/>
        <v>0</v>
      </c>
      <c r="AC201">
        <f t="shared" si="291"/>
        <v>0</v>
      </c>
      <c r="AD201">
        <f t="shared" si="292"/>
        <v>71.5</v>
      </c>
      <c r="AE201">
        <f t="shared" si="293"/>
        <v>135</v>
      </c>
      <c r="AF201">
        <f t="shared" si="294"/>
        <v>16</v>
      </c>
      <c r="AG201">
        <f t="shared" si="295"/>
        <v>-12.5</v>
      </c>
      <c r="AH201">
        <f t="shared" si="296"/>
        <v>-1</v>
      </c>
      <c r="AI201">
        <f t="shared" si="297"/>
        <v>0</v>
      </c>
      <c r="AJ201">
        <f t="shared" si="298"/>
        <v>0</v>
      </c>
      <c r="AK201">
        <f t="shared" si="299"/>
        <v>0</v>
      </c>
      <c r="AL201">
        <f t="shared" si="300"/>
        <v>5</v>
      </c>
      <c r="AM201">
        <f t="shared" si="301"/>
        <v>214</v>
      </c>
      <c r="AN201">
        <f t="shared" si="302"/>
        <v>216</v>
      </c>
      <c r="AO201" s="1">
        <f t="shared" si="303"/>
        <v>0.9907407407407407</v>
      </c>
    </row>
  </sheetData>
  <autoFilter ref="A1:AO193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73"/>
  <sheetViews>
    <sheetView workbookViewId="0">
      <pane ySplit="1" topLeftCell="A2" activePane="bottomLeft" state="frozen"/>
      <selection activeCell="C1" sqref="C1"/>
      <selection pane="bottomLeft" activeCell="H26" sqref="H26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860.5</v>
      </c>
      <c r="H4">
        <v>71.709999999999994</v>
      </c>
      <c r="I4">
        <v>12</v>
      </c>
      <c r="J4">
        <v>11</v>
      </c>
      <c r="K4">
        <v>1</v>
      </c>
      <c r="L4">
        <v>508</v>
      </c>
      <c r="M4">
        <v>187</v>
      </c>
      <c r="N4">
        <v>7</v>
      </c>
      <c r="O4">
        <v>129</v>
      </c>
      <c r="P4">
        <v>12</v>
      </c>
      <c r="Q4">
        <v>2</v>
      </c>
      <c r="R4">
        <v>3</v>
      </c>
      <c r="S4">
        <v>5</v>
      </c>
      <c r="T4">
        <v>3</v>
      </c>
      <c r="U4">
        <v>2</v>
      </c>
      <c r="V4">
        <v>1</v>
      </c>
      <c r="W4">
        <v>0</v>
      </c>
      <c r="X4">
        <v>35.299999999999997</v>
      </c>
      <c r="Y4">
        <v>70.36</v>
      </c>
      <c r="Z4">
        <v>829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728.5</v>
      </c>
      <c r="H5">
        <v>60.71</v>
      </c>
      <c r="I5">
        <v>12</v>
      </c>
      <c r="J5">
        <v>9</v>
      </c>
      <c r="K5">
        <v>3</v>
      </c>
      <c r="L5">
        <v>489</v>
      </c>
      <c r="M5">
        <v>147</v>
      </c>
      <c r="N5">
        <v>6</v>
      </c>
      <c r="O5">
        <v>90</v>
      </c>
      <c r="P5">
        <v>6</v>
      </c>
      <c r="Q5">
        <v>0</v>
      </c>
      <c r="R5">
        <v>0</v>
      </c>
      <c r="S5">
        <v>6</v>
      </c>
      <c r="T5">
        <v>1</v>
      </c>
      <c r="U5">
        <v>1</v>
      </c>
      <c r="V5">
        <v>1</v>
      </c>
      <c r="W5">
        <v>0</v>
      </c>
      <c r="X5">
        <v>36.299999999999997</v>
      </c>
      <c r="Y5">
        <v>69.73</v>
      </c>
      <c r="Z5">
        <v>559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1016.5</v>
      </c>
      <c r="H6">
        <v>78.19</v>
      </c>
      <c r="I6">
        <v>13</v>
      </c>
      <c r="J6">
        <v>13</v>
      </c>
      <c r="K6">
        <v>0</v>
      </c>
      <c r="L6">
        <v>591</v>
      </c>
      <c r="M6">
        <v>199</v>
      </c>
      <c r="N6">
        <v>8</v>
      </c>
      <c r="O6">
        <v>110</v>
      </c>
      <c r="P6">
        <v>10</v>
      </c>
      <c r="Q6">
        <v>0</v>
      </c>
      <c r="R6">
        <v>0</v>
      </c>
      <c r="S6">
        <v>9</v>
      </c>
      <c r="T6">
        <v>5</v>
      </c>
      <c r="U6">
        <v>1</v>
      </c>
      <c r="V6">
        <v>1</v>
      </c>
      <c r="W6">
        <v>1</v>
      </c>
      <c r="X6">
        <v>20.9</v>
      </c>
      <c r="Y6">
        <v>69.63</v>
      </c>
      <c r="Z6" s="6">
        <v>1886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925.5</v>
      </c>
      <c r="H7">
        <v>71.19</v>
      </c>
      <c r="I7">
        <v>13</v>
      </c>
      <c r="J7">
        <v>12</v>
      </c>
      <c r="K7">
        <v>1</v>
      </c>
      <c r="L7">
        <v>541</v>
      </c>
      <c r="M7">
        <v>197</v>
      </c>
      <c r="N7">
        <v>7</v>
      </c>
      <c r="O7">
        <v>128</v>
      </c>
      <c r="P7">
        <v>9</v>
      </c>
      <c r="Q7">
        <v>0</v>
      </c>
      <c r="R7">
        <v>0</v>
      </c>
      <c r="S7">
        <v>6</v>
      </c>
      <c r="T7">
        <v>4</v>
      </c>
      <c r="U7">
        <v>4</v>
      </c>
      <c r="V7">
        <v>2</v>
      </c>
      <c r="W7">
        <v>0</v>
      </c>
      <c r="X7">
        <v>30.3</v>
      </c>
      <c r="Y7">
        <v>70.02</v>
      </c>
      <c r="Z7" s="6">
        <v>1561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256</v>
      </c>
      <c r="B9" t="s">
        <v>79</v>
      </c>
      <c r="C9" t="s">
        <v>257</v>
      </c>
      <c r="D9" t="s">
        <v>1</v>
      </c>
      <c r="E9">
        <v>16</v>
      </c>
      <c r="F9" t="s">
        <v>81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 x14ac:dyDescent="0.25">
      <c r="A10" t="s">
        <v>84</v>
      </c>
      <c r="B10" t="s">
        <v>79</v>
      </c>
      <c r="C10" t="s">
        <v>85</v>
      </c>
      <c r="D10" t="s">
        <v>1</v>
      </c>
      <c r="E10">
        <v>4</v>
      </c>
      <c r="F10" t="s">
        <v>81</v>
      </c>
      <c r="G10">
        <v>1022</v>
      </c>
      <c r="H10">
        <v>73</v>
      </c>
      <c r="I10">
        <v>14</v>
      </c>
      <c r="J10">
        <v>14</v>
      </c>
      <c r="K10">
        <v>0</v>
      </c>
      <c r="L10">
        <v>608</v>
      </c>
      <c r="M10">
        <v>220</v>
      </c>
      <c r="N10">
        <v>10</v>
      </c>
      <c r="O10">
        <v>140</v>
      </c>
      <c r="P10">
        <v>12</v>
      </c>
      <c r="Q10">
        <v>0</v>
      </c>
      <c r="R10">
        <v>0</v>
      </c>
      <c r="S10">
        <v>8</v>
      </c>
      <c r="T10">
        <v>2</v>
      </c>
      <c r="U10">
        <v>0</v>
      </c>
      <c r="V10">
        <v>0</v>
      </c>
      <c r="W10">
        <v>0</v>
      </c>
      <c r="X10">
        <v>25.4</v>
      </c>
      <c r="Y10">
        <v>69.67</v>
      </c>
      <c r="Z10">
        <v>995</v>
      </c>
      <c r="AA10">
        <v>3</v>
      </c>
    </row>
    <row r="11" spans="1:27" x14ac:dyDescent="0.25">
      <c r="A11" t="s">
        <v>97</v>
      </c>
      <c r="B11" t="s">
        <v>79</v>
      </c>
      <c r="C11" t="s">
        <v>98</v>
      </c>
      <c r="D11" t="s">
        <v>1</v>
      </c>
      <c r="E11">
        <v>3</v>
      </c>
      <c r="F11" t="s">
        <v>92</v>
      </c>
      <c r="G11">
        <v>854.5</v>
      </c>
      <c r="H11">
        <v>65.73</v>
      </c>
      <c r="I11">
        <v>13</v>
      </c>
      <c r="J11">
        <v>12</v>
      </c>
      <c r="K11">
        <v>1</v>
      </c>
      <c r="L11">
        <v>594</v>
      </c>
      <c r="M11">
        <v>167</v>
      </c>
      <c r="N11">
        <v>6</v>
      </c>
      <c r="O11">
        <v>109</v>
      </c>
      <c r="P11">
        <v>4</v>
      </c>
      <c r="Q11">
        <v>2</v>
      </c>
      <c r="R11">
        <v>2</v>
      </c>
      <c r="S11">
        <v>8</v>
      </c>
      <c r="T11">
        <v>3</v>
      </c>
      <c r="U11">
        <v>1</v>
      </c>
      <c r="V11">
        <v>1</v>
      </c>
      <c r="W11">
        <v>0</v>
      </c>
      <c r="X11">
        <v>23.5</v>
      </c>
      <c r="Y11">
        <v>70.08</v>
      </c>
      <c r="Z11" s="6">
        <v>1189</v>
      </c>
      <c r="AA11">
        <v>3</v>
      </c>
    </row>
    <row r="12" spans="1:27" x14ac:dyDescent="0.25">
      <c r="A12" t="s">
        <v>360</v>
      </c>
      <c r="B12" t="s">
        <v>79</v>
      </c>
      <c r="C12" t="s">
        <v>361</v>
      </c>
      <c r="D12" t="s">
        <v>1</v>
      </c>
      <c r="E12">
        <v>16</v>
      </c>
      <c r="F12" t="s">
        <v>92</v>
      </c>
      <c r="G12">
        <v>24.5</v>
      </c>
      <c r="H12">
        <v>24.5</v>
      </c>
      <c r="I12">
        <v>1</v>
      </c>
      <c r="J12">
        <v>0</v>
      </c>
      <c r="K12">
        <v>1</v>
      </c>
      <c r="L12">
        <v>18</v>
      </c>
      <c r="M12">
        <v>7</v>
      </c>
      <c r="N12">
        <v>0</v>
      </c>
      <c r="O12">
        <v>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83</v>
      </c>
      <c r="Y12">
        <v>72</v>
      </c>
      <c r="Z12">
        <v>0</v>
      </c>
      <c r="AA12">
        <v>3</v>
      </c>
    </row>
    <row r="13" spans="1:27" x14ac:dyDescent="0.25">
      <c r="A13" t="s">
        <v>99</v>
      </c>
      <c r="B13" t="s">
        <v>79</v>
      </c>
      <c r="C13" t="s">
        <v>100</v>
      </c>
      <c r="D13" t="s">
        <v>1</v>
      </c>
      <c r="E13">
        <v>14</v>
      </c>
      <c r="F13" t="s">
        <v>81</v>
      </c>
      <c r="G13">
        <v>540</v>
      </c>
      <c r="H13">
        <v>67.5</v>
      </c>
      <c r="I13">
        <v>8</v>
      </c>
      <c r="J13">
        <v>5</v>
      </c>
      <c r="K13">
        <v>3</v>
      </c>
      <c r="L13">
        <v>300</v>
      </c>
      <c r="M13">
        <v>116</v>
      </c>
      <c r="N13">
        <v>2</v>
      </c>
      <c r="O13">
        <v>60</v>
      </c>
      <c r="P13">
        <v>8</v>
      </c>
      <c r="Q13">
        <v>0</v>
      </c>
      <c r="R13">
        <v>0</v>
      </c>
      <c r="S13">
        <v>3</v>
      </c>
      <c r="T13">
        <v>2</v>
      </c>
      <c r="U13">
        <v>1</v>
      </c>
      <c r="V13">
        <v>1</v>
      </c>
      <c r="W13">
        <v>1</v>
      </c>
      <c r="X13">
        <v>43.9</v>
      </c>
      <c r="Y13">
        <v>69.48</v>
      </c>
      <c r="Z13">
        <v>633</v>
      </c>
      <c r="AA13">
        <v>3</v>
      </c>
    </row>
    <row r="14" spans="1:27" x14ac:dyDescent="0.25">
      <c r="A14" t="s">
        <v>118</v>
      </c>
      <c r="B14" t="s">
        <v>79</v>
      </c>
      <c r="C14" t="s">
        <v>119</v>
      </c>
      <c r="D14" t="s">
        <v>1</v>
      </c>
      <c r="E14">
        <v>9</v>
      </c>
      <c r="F14" t="s">
        <v>92</v>
      </c>
      <c r="G14">
        <v>76.5</v>
      </c>
      <c r="H14">
        <v>38.25</v>
      </c>
      <c r="I14">
        <v>2</v>
      </c>
      <c r="J14">
        <v>1</v>
      </c>
      <c r="K14">
        <v>1</v>
      </c>
      <c r="L14">
        <v>65</v>
      </c>
      <c r="M14">
        <v>19</v>
      </c>
      <c r="N14">
        <v>0</v>
      </c>
      <c r="O14">
        <v>20</v>
      </c>
      <c r="P14">
        <v>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61.5</v>
      </c>
      <c r="Y14">
        <v>73.17</v>
      </c>
      <c r="Z14">
        <v>0</v>
      </c>
      <c r="AA14">
        <v>3</v>
      </c>
    </row>
    <row r="15" spans="1:27" x14ac:dyDescent="0.25">
      <c r="A15" t="s">
        <v>95</v>
      </c>
      <c r="B15" t="s">
        <v>79</v>
      </c>
      <c r="C15" t="s">
        <v>96</v>
      </c>
      <c r="D15" t="s">
        <v>1</v>
      </c>
      <c r="E15">
        <v>16</v>
      </c>
      <c r="F15" t="s">
        <v>92</v>
      </c>
      <c r="G15">
        <v>442</v>
      </c>
      <c r="H15">
        <v>88.4</v>
      </c>
      <c r="I15">
        <v>5</v>
      </c>
      <c r="J15">
        <v>4</v>
      </c>
      <c r="K15">
        <v>1</v>
      </c>
      <c r="L15">
        <v>191</v>
      </c>
      <c r="M15">
        <v>94</v>
      </c>
      <c r="N15">
        <v>1</v>
      </c>
      <c r="O15">
        <v>35</v>
      </c>
      <c r="P15">
        <v>3</v>
      </c>
      <c r="Q15">
        <v>0</v>
      </c>
      <c r="R15">
        <v>0</v>
      </c>
      <c r="S15">
        <v>3</v>
      </c>
      <c r="T15">
        <v>3</v>
      </c>
      <c r="U15">
        <v>2</v>
      </c>
      <c r="V15">
        <v>1</v>
      </c>
      <c r="W15">
        <v>1</v>
      </c>
      <c r="X15">
        <v>25.4</v>
      </c>
      <c r="Y15">
        <v>68.06</v>
      </c>
      <c r="Z15">
        <v>708</v>
      </c>
      <c r="AA15">
        <v>3</v>
      </c>
    </row>
    <row r="16" spans="1:27" x14ac:dyDescent="0.25">
      <c r="A16" t="s">
        <v>379</v>
      </c>
      <c r="B16" t="s">
        <v>79</v>
      </c>
      <c r="C16" t="s">
        <v>380</v>
      </c>
      <c r="D16" t="s">
        <v>1</v>
      </c>
      <c r="E16">
        <v>16</v>
      </c>
      <c r="F16" t="s">
        <v>81</v>
      </c>
      <c r="G16">
        <v>58</v>
      </c>
      <c r="H16">
        <v>29</v>
      </c>
      <c r="I16">
        <v>2</v>
      </c>
      <c r="J16">
        <v>0</v>
      </c>
      <c r="K16">
        <v>2</v>
      </c>
      <c r="L16">
        <v>45</v>
      </c>
      <c r="M16">
        <v>14</v>
      </c>
      <c r="N16">
        <v>0</v>
      </c>
      <c r="O16">
        <v>13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69</v>
      </c>
      <c r="Y16">
        <v>70.25</v>
      </c>
      <c r="Z16">
        <v>0</v>
      </c>
      <c r="AA16">
        <v>3</v>
      </c>
    </row>
    <row r="17" spans="1:27" x14ac:dyDescent="0.25">
      <c r="A17" t="s">
        <v>90</v>
      </c>
      <c r="B17" t="s">
        <v>79</v>
      </c>
      <c r="C17" t="s">
        <v>91</v>
      </c>
      <c r="D17" t="s">
        <v>1</v>
      </c>
      <c r="E17">
        <v>6</v>
      </c>
      <c r="F17" t="s">
        <v>92</v>
      </c>
      <c r="G17">
        <v>642.5</v>
      </c>
      <c r="H17">
        <v>71.39</v>
      </c>
      <c r="I17">
        <v>9</v>
      </c>
      <c r="J17">
        <v>8</v>
      </c>
      <c r="K17">
        <v>1</v>
      </c>
      <c r="L17">
        <v>379</v>
      </c>
      <c r="M17">
        <v>143</v>
      </c>
      <c r="N17">
        <v>2</v>
      </c>
      <c r="O17">
        <v>62</v>
      </c>
      <c r="P17">
        <v>7</v>
      </c>
      <c r="Q17">
        <v>1</v>
      </c>
      <c r="R17">
        <v>1</v>
      </c>
      <c r="S17">
        <v>4</v>
      </c>
      <c r="T17">
        <v>1</v>
      </c>
      <c r="U17">
        <v>1</v>
      </c>
      <c r="V17">
        <v>1</v>
      </c>
      <c r="W17">
        <v>0</v>
      </c>
      <c r="X17">
        <v>29.4</v>
      </c>
      <c r="Y17">
        <v>68.790000000000006</v>
      </c>
      <c r="Z17">
        <v>567</v>
      </c>
      <c r="AA17">
        <v>3</v>
      </c>
    </row>
    <row r="18" spans="1:27" x14ac:dyDescent="0.25">
      <c r="A18" t="s">
        <v>190</v>
      </c>
      <c r="B18" t="s">
        <v>79</v>
      </c>
      <c r="C18" t="s">
        <v>191</v>
      </c>
      <c r="D18" t="s">
        <v>1</v>
      </c>
      <c r="E18">
        <v>16</v>
      </c>
      <c r="F18" t="s">
        <v>92</v>
      </c>
      <c r="G18">
        <v>68.5</v>
      </c>
      <c r="H18">
        <v>68.5</v>
      </c>
      <c r="I18">
        <v>1</v>
      </c>
      <c r="J18">
        <v>1</v>
      </c>
      <c r="K18">
        <v>0</v>
      </c>
      <c r="L18">
        <v>46</v>
      </c>
      <c r="M18">
        <v>17</v>
      </c>
      <c r="N18">
        <v>0</v>
      </c>
      <c r="O18">
        <v>7</v>
      </c>
      <c r="P18">
        <v>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57</v>
      </c>
      <c r="Y18">
        <v>70.5</v>
      </c>
      <c r="Z18">
        <v>5</v>
      </c>
      <c r="AA18">
        <v>3</v>
      </c>
    </row>
    <row r="19" spans="1:27" x14ac:dyDescent="0.25">
      <c r="A19" t="s">
        <v>101</v>
      </c>
      <c r="B19" t="s">
        <v>79</v>
      </c>
      <c r="C19" t="s">
        <v>102</v>
      </c>
      <c r="D19" t="s">
        <v>1</v>
      </c>
      <c r="E19">
        <v>15</v>
      </c>
      <c r="F19" t="s">
        <v>103</v>
      </c>
      <c r="G19">
        <v>167</v>
      </c>
      <c r="H19">
        <v>55.67</v>
      </c>
      <c r="I19">
        <v>3</v>
      </c>
      <c r="J19">
        <v>2</v>
      </c>
      <c r="K19">
        <v>1</v>
      </c>
      <c r="L19">
        <v>110</v>
      </c>
      <c r="M19">
        <v>37</v>
      </c>
      <c r="N19">
        <v>2</v>
      </c>
      <c r="O19">
        <v>28</v>
      </c>
      <c r="P19">
        <v>3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56</v>
      </c>
      <c r="Y19">
        <v>69.7</v>
      </c>
      <c r="Z19">
        <v>28</v>
      </c>
      <c r="AA19">
        <v>3</v>
      </c>
    </row>
    <row r="20" spans="1:27" x14ac:dyDescent="0.25">
      <c r="A20" t="s">
        <v>388</v>
      </c>
      <c r="B20" t="s">
        <v>79</v>
      </c>
      <c r="C20" t="s">
        <v>389</v>
      </c>
      <c r="D20" t="s">
        <v>1</v>
      </c>
      <c r="E20">
        <v>16</v>
      </c>
      <c r="F20" t="s">
        <v>92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3</v>
      </c>
    </row>
    <row r="21" spans="1:27" x14ac:dyDescent="0.25">
      <c r="A21" t="s">
        <v>86</v>
      </c>
      <c r="B21" t="s">
        <v>79</v>
      </c>
      <c r="C21" t="s">
        <v>87</v>
      </c>
      <c r="D21" t="s">
        <v>1</v>
      </c>
      <c r="E21">
        <v>2</v>
      </c>
      <c r="F21" t="s">
        <v>81</v>
      </c>
      <c r="G21">
        <v>876.5</v>
      </c>
      <c r="H21">
        <v>73.040000000000006</v>
      </c>
      <c r="I21">
        <v>12</v>
      </c>
      <c r="J21">
        <v>11</v>
      </c>
      <c r="K21">
        <v>1</v>
      </c>
      <c r="L21">
        <v>502</v>
      </c>
      <c r="M21">
        <v>189</v>
      </c>
      <c r="N21">
        <v>7</v>
      </c>
      <c r="O21">
        <v>123</v>
      </c>
      <c r="P21">
        <v>7</v>
      </c>
      <c r="Q21">
        <v>0</v>
      </c>
      <c r="R21">
        <v>0</v>
      </c>
      <c r="S21">
        <v>6</v>
      </c>
      <c r="T21">
        <v>2</v>
      </c>
      <c r="U21">
        <v>2</v>
      </c>
      <c r="V21">
        <v>2</v>
      </c>
      <c r="W21">
        <v>0</v>
      </c>
      <c r="X21">
        <v>34.200000000000003</v>
      </c>
      <c r="Y21">
        <v>69.83</v>
      </c>
      <c r="Z21">
        <v>708</v>
      </c>
      <c r="AA21">
        <v>3</v>
      </c>
    </row>
    <row r="22" spans="1:27" x14ac:dyDescent="0.25">
      <c r="A22" t="s">
        <v>116</v>
      </c>
      <c r="B22" t="s">
        <v>79</v>
      </c>
      <c r="C22" t="s">
        <v>117</v>
      </c>
      <c r="D22" t="s">
        <v>1</v>
      </c>
      <c r="E22">
        <v>16</v>
      </c>
      <c r="F22" t="s">
        <v>92</v>
      </c>
      <c r="G22">
        <v>129</v>
      </c>
      <c r="H22">
        <v>64.5</v>
      </c>
      <c r="I22">
        <v>2</v>
      </c>
      <c r="J22">
        <v>2</v>
      </c>
      <c r="K22">
        <v>0</v>
      </c>
      <c r="L22">
        <v>88</v>
      </c>
      <c r="M22">
        <v>31</v>
      </c>
      <c r="N22">
        <v>0</v>
      </c>
      <c r="O22">
        <v>22</v>
      </c>
      <c r="P22">
        <v>3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30.5</v>
      </c>
      <c r="Y22">
        <v>71.13</v>
      </c>
      <c r="Z22">
        <v>0</v>
      </c>
      <c r="AA22">
        <v>3</v>
      </c>
    </row>
    <row r="23" spans="1:27" x14ac:dyDescent="0.25">
      <c r="A23" t="s">
        <v>112</v>
      </c>
      <c r="B23" t="s">
        <v>79</v>
      </c>
      <c r="C23" t="s">
        <v>113</v>
      </c>
      <c r="D23" t="s">
        <v>1</v>
      </c>
      <c r="E23">
        <v>16</v>
      </c>
      <c r="F23" t="s">
        <v>81</v>
      </c>
      <c r="G23">
        <v>54</v>
      </c>
      <c r="H23">
        <v>27</v>
      </c>
      <c r="I23">
        <v>2</v>
      </c>
      <c r="J23">
        <v>0</v>
      </c>
      <c r="K23">
        <v>2</v>
      </c>
      <c r="L23">
        <v>45</v>
      </c>
      <c r="M23">
        <v>13</v>
      </c>
      <c r="N23">
        <v>0</v>
      </c>
      <c r="O23">
        <v>13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73.5</v>
      </c>
      <c r="Y23">
        <v>71.5</v>
      </c>
      <c r="Z23">
        <v>0</v>
      </c>
      <c r="AA23">
        <v>3</v>
      </c>
    </row>
    <row r="24" spans="1:27" x14ac:dyDescent="0.25">
      <c r="A24" t="s">
        <v>381</v>
      </c>
      <c r="B24" t="s">
        <v>79</v>
      </c>
      <c r="C24" t="s">
        <v>382</v>
      </c>
      <c r="D24" t="s">
        <v>1</v>
      </c>
      <c r="E24">
        <v>16</v>
      </c>
      <c r="F24" t="s">
        <v>81</v>
      </c>
      <c r="G24">
        <v>54</v>
      </c>
      <c r="H24">
        <v>27</v>
      </c>
      <c r="I24">
        <v>2</v>
      </c>
      <c r="J24">
        <v>0</v>
      </c>
      <c r="K24">
        <v>2</v>
      </c>
      <c r="L24">
        <v>52</v>
      </c>
      <c r="M24">
        <v>11</v>
      </c>
      <c r="N24">
        <v>0</v>
      </c>
      <c r="O24">
        <v>8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69</v>
      </c>
      <c r="Y24">
        <v>70.25</v>
      </c>
      <c r="Z24">
        <v>0</v>
      </c>
      <c r="AA24">
        <v>3</v>
      </c>
    </row>
    <row r="25" spans="1:27" x14ac:dyDescent="0.25">
      <c r="A25" t="s">
        <v>354</v>
      </c>
      <c r="B25" t="s">
        <v>79</v>
      </c>
      <c r="C25" t="s">
        <v>355</v>
      </c>
      <c r="D25" t="s">
        <v>1</v>
      </c>
      <c r="E25">
        <v>16</v>
      </c>
      <c r="F25" t="s">
        <v>103</v>
      </c>
      <c r="G25">
        <v>67</v>
      </c>
      <c r="H25">
        <v>67</v>
      </c>
      <c r="I25">
        <v>1</v>
      </c>
      <c r="J25">
        <v>1</v>
      </c>
      <c r="K25">
        <v>0</v>
      </c>
      <c r="L25">
        <v>40</v>
      </c>
      <c r="M25">
        <v>18</v>
      </c>
      <c r="N25">
        <v>0</v>
      </c>
      <c r="O25">
        <v>12</v>
      </c>
      <c r="P25">
        <v>2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42</v>
      </c>
      <c r="Y25">
        <v>69.5</v>
      </c>
      <c r="Z25">
        <v>11</v>
      </c>
      <c r="AA25">
        <v>3</v>
      </c>
    </row>
    <row r="26" spans="1:27" x14ac:dyDescent="0.25">
      <c r="A26" t="s">
        <v>324</v>
      </c>
      <c r="B26" t="s">
        <v>79</v>
      </c>
      <c r="C26" t="s">
        <v>325</v>
      </c>
      <c r="D26" t="s">
        <v>1</v>
      </c>
      <c r="E26">
        <v>16</v>
      </c>
      <c r="F26" t="s">
        <v>81</v>
      </c>
      <c r="G26">
        <v>63</v>
      </c>
      <c r="H26">
        <v>63</v>
      </c>
      <c r="I26">
        <v>1</v>
      </c>
      <c r="J26">
        <v>1</v>
      </c>
      <c r="K26">
        <v>0</v>
      </c>
      <c r="L26">
        <v>47</v>
      </c>
      <c r="M26">
        <v>14</v>
      </c>
      <c r="N26">
        <v>0</v>
      </c>
      <c r="O26">
        <v>11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26</v>
      </c>
      <c r="Y26">
        <v>70.25</v>
      </c>
      <c r="Z26">
        <v>30</v>
      </c>
      <c r="AA26">
        <v>3</v>
      </c>
    </row>
    <row r="27" spans="1:27" x14ac:dyDescent="0.25">
      <c r="A27" t="s">
        <v>104</v>
      </c>
      <c r="B27" t="s">
        <v>79</v>
      </c>
      <c r="C27" t="s">
        <v>105</v>
      </c>
      <c r="D27" t="s">
        <v>1</v>
      </c>
      <c r="E27">
        <v>11</v>
      </c>
      <c r="F27" t="s">
        <v>92</v>
      </c>
      <c r="G27">
        <v>301.5</v>
      </c>
      <c r="H27">
        <v>60.3</v>
      </c>
      <c r="I27">
        <v>5</v>
      </c>
      <c r="J27">
        <v>4</v>
      </c>
      <c r="K27">
        <v>1</v>
      </c>
      <c r="L27">
        <v>207</v>
      </c>
      <c r="M27">
        <v>68</v>
      </c>
      <c r="N27">
        <v>1</v>
      </c>
      <c r="O27">
        <v>46</v>
      </c>
      <c r="P27">
        <v>2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39.4</v>
      </c>
      <c r="Y27">
        <v>70.22</v>
      </c>
      <c r="Z27">
        <v>168</v>
      </c>
      <c r="AA27">
        <v>3</v>
      </c>
    </row>
    <row r="28" spans="1:27" x14ac:dyDescent="0.25">
      <c r="A28" t="s">
        <v>142</v>
      </c>
      <c r="B28" t="s">
        <v>79</v>
      </c>
      <c r="C28" t="s">
        <v>143</v>
      </c>
      <c r="D28" t="s">
        <v>1</v>
      </c>
      <c r="E28">
        <v>16</v>
      </c>
      <c r="F28" t="s">
        <v>92</v>
      </c>
      <c r="G28">
        <v>64</v>
      </c>
      <c r="H28">
        <v>64</v>
      </c>
      <c r="I28">
        <v>1</v>
      </c>
      <c r="J28">
        <v>1</v>
      </c>
      <c r="K28">
        <v>0</v>
      </c>
      <c r="L28">
        <v>46</v>
      </c>
      <c r="M28">
        <v>13</v>
      </c>
      <c r="N28">
        <v>1</v>
      </c>
      <c r="O28">
        <v>12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67</v>
      </c>
      <c r="Y28">
        <v>71.25</v>
      </c>
      <c r="Z28">
        <v>3</v>
      </c>
      <c r="AA28">
        <v>3</v>
      </c>
    </row>
    <row r="29" spans="1:27" x14ac:dyDescent="0.25">
      <c r="A29" t="s">
        <v>114</v>
      </c>
      <c r="B29" t="s">
        <v>79</v>
      </c>
      <c r="C29" t="s">
        <v>115</v>
      </c>
      <c r="D29" t="s">
        <v>1</v>
      </c>
      <c r="E29">
        <v>8</v>
      </c>
      <c r="F29" t="s">
        <v>103</v>
      </c>
      <c r="G29">
        <v>29.5</v>
      </c>
      <c r="H29">
        <v>29.5</v>
      </c>
      <c r="I29">
        <v>1</v>
      </c>
      <c r="J29">
        <v>0</v>
      </c>
      <c r="K29">
        <v>1</v>
      </c>
      <c r="L29">
        <v>23</v>
      </c>
      <c r="M29">
        <v>7</v>
      </c>
      <c r="N29">
        <v>0</v>
      </c>
      <c r="O29">
        <v>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66</v>
      </c>
      <c r="Y29">
        <v>70.5</v>
      </c>
      <c r="Z29">
        <v>0</v>
      </c>
      <c r="AA29">
        <v>3</v>
      </c>
    </row>
    <row r="30" spans="1:27" x14ac:dyDescent="0.25">
      <c r="A30" t="s">
        <v>334</v>
      </c>
      <c r="B30" t="s">
        <v>79</v>
      </c>
      <c r="C30" t="s">
        <v>335</v>
      </c>
      <c r="D30" t="s">
        <v>4</v>
      </c>
      <c r="E30">
        <v>5</v>
      </c>
      <c r="F30" t="s">
        <v>81</v>
      </c>
      <c r="G30">
        <v>935</v>
      </c>
      <c r="H30">
        <v>62.33</v>
      </c>
      <c r="I30">
        <v>15</v>
      </c>
      <c r="J30">
        <v>12</v>
      </c>
      <c r="K30">
        <v>3</v>
      </c>
      <c r="L30">
        <v>578</v>
      </c>
      <c r="M30">
        <v>207</v>
      </c>
      <c r="N30">
        <v>5</v>
      </c>
      <c r="O30">
        <v>144</v>
      </c>
      <c r="P30">
        <v>17</v>
      </c>
      <c r="Q30">
        <v>3</v>
      </c>
      <c r="R30">
        <v>3</v>
      </c>
      <c r="S30">
        <v>6</v>
      </c>
      <c r="T30">
        <v>2</v>
      </c>
      <c r="U30">
        <v>2</v>
      </c>
      <c r="V30">
        <v>2</v>
      </c>
      <c r="W30">
        <v>0</v>
      </c>
      <c r="X30">
        <v>35.200000000000003</v>
      </c>
      <c r="Y30">
        <v>70.53</v>
      </c>
      <c r="Z30" s="6">
        <v>1015</v>
      </c>
      <c r="AA30">
        <v>2</v>
      </c>
    </row>
    <row r="31" spans="1:27" x14ac:dyDescent="0.25">
      <c r="A31" t="s">
        <v>374</v>
      </c>
      <c r="B31" t="s">
        <v>79</v>
      </c>
      <c r="C31" t="s">
        <v>375</v>
      </c>
      <c r="D31" t="s">
        <v>4</v>
      </c>
      <c r="E31">
        <v>16</v>
      </c>
      <c r="F31" t="s">
        <v>92</v>
      </c>
      <c r="G31">
        <v>91.5</v>
      </c>
      <c r="H31">
        <v>30.5</v>
      </c>
      <c r="I31">
        <v>3</v>
      </c>
      <c r="J31">
        <v>1</v>
      </c>
      <c r="K31">
        <v>2</v>
      </c>
      <c r="L31">
        <v>91</v>
      </c>
      <c r="M31">
        <v>21</v>
      </c>
      <c r="N31">
        <v>0</v>
      </c>
      <c r="O31">
        <v>28</v>
      </c>
      <c r="P31">
        <v>3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58.3</v>
      </c>
      <c r="Y31">
        <v>73</v>
      </c>
      <c r="Z31">
        <v>0</v>
      </c>
      <c r="AA31">
        <v>2</v>
      </c>
    </row>
    <row r="32" spans="1:27" x14ac:dyDescent="0.25">
      <c r="A32" t="s">
        <v>356</v>
      </c>
      <c r="B32" t="s">
        <v>79</v>
      </c>
      <c r="C32" t="s">
        <v>357</v>
      </c>
      <c r="D32" t="s">
        <v>4</v>
      </c>
      <c r="E32">
        <v>16</v>
      </c>
      <c r="F32" t="s">
        <v>103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2</v>
      </c>
    </row>
    <row r="33" spans="1:27" x14ac:dyDescent="0.25">
      <c r="A33" t="s">
        <v>350</v>
      </c>
      <c r="B33" t="s">
        <v>79</v>
      </c>
      <c r="C33" t="s">
        <v>351</v>
      </c>
      <c r="D33" t="s">
        <v>4</v>
      </c>
      <c r="E33">
        <v>7</v>
      </c>
      <c r="F33" t="s">
        <v>92</v>
      </c>
      <c r="G33">
        <v>432.5</v>
      </c>
      <c r="H33">
        <v>61.79</v>
      </c>
      <c r="I33">
        <v>7</v>
      </c>
      <c r="J33">
        <v>7</v>
      </c>
      <c r="K33">
        <v>0</v>
      </c>
      <c r="L33">
        <v>305</v>
      </c>
      <c r="M33">
        <v>99</v>
      </c>
      <c r="N33">
        <v>1</v>
      </c>
      <c r="O33">
        <v>72</v>
      </c>
      <c r="P33">
        <v>9</v>
      </c>
      <c r="Q33">
        <v>0</v>
      </c>
      <c r="R33">
        <v>0</v>
      </c>
      <c r="S33">
        <v>1</v>
      </c>
      <c r="T33">
        <v>1</v>
      </c>
      <c r="U33">
        <v>1</v>
      </c>
      <c r="V33">
        <v>0</v>
      </c>
      <c r="W33">
        <v>0</v>
      </c>
      <c r="X33">
        <v>42</v>
      </c>
      <c r="Y33">
        <v>70.56</v>
      </c>
      <c r="Z33">
        <v>175</v>
      </c>
      <c r="AA33">
        <v>2</v>
      </c>
    </row>
    <row r="34" spans="1:27" x14ac:dyDescent="0.25">
      <c r="A34" t="s">
        <v>358</v>
      </c>
      <c r="B34" t="s">
        <v>79</v>
      </c>
      <c r="C34" t="s">
        <v>359</v>
      </c>
      <c r="D34" t="s">
        <v>4</v>
      </c>
      <c r="E34">
        <v>14</v>
      </c>
      <c r="F34" t="s">
        <v>103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2</v>
      </c>
    </row>
    <row r="35" spans="1:27" x14ac:dyDescent="0.25">
      <c r="A35" t="s">
        <v>362</v>
      </c>
      <c r="B35" t="s">
        <v>79</v>
      </c>
      <c r="C35" t="s">
        <v>363</v>
      </c>
      <c r="D35" t="s">
        <v>4</v>
      </c>
      <c r="E35">
        <v>16</v>
      </c>
      <c r="F35" t="s">
        <v>81</v>
      </c>
      <c r="G35">
        <v>60.5</v>
      </c>
      <c r="H35">
        <v>60.5</v>
      </c>
      <c r="I35">
        <v>1</v>
      </c>
      <c r="J35">
        <v>1</v>
      </c>
      <c r="K35">
        <v>0</v>
      </c>
      <c r="L35">
        <v>49</v>
      </c>
      <c r="M35">
        <v>13</v>
      </c>
      <c r="N35">
        <v>0</v>
      </c>
      <c r="O35">
        <v>10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36</v>
      </c>
      <c r="Y35">
        <v>69.25</v>
      </c>
      <c r="Z35">
        <v>16</v>
      </c>
      <c r="AA35">
        <v>2</v>
      </c>
    </row>
    <row r="36" spans="1:27" x14ac:dyDescent="0.25">
      <c r="A36" t="s">
        <v>346</v>
      </c>
      <c r="B36" t="s">
        <v>79</v>
      </c>
      <c r="C36" t="s">
        <v>347</v>
      </c>
      <c r="D36" t="s">
        <v>4</v>
      </c>
      <c r="E36">
        <v>6</v>
      </c>
      <c r="F36" t="s">
        <v>92</v>
      </c>
      <c r="G36">
        <v>385</v>
      </c>
      <c r="H36">
        <v>55</v>
      </c>
      <c r="I36">
        <v>7</v>
      </c>
      <c r="J36">
        <v>3</v>
      </c>
      <c r="K36">
        <v>4</v>
      </c>
      <c r="L36">
        <v>218</v>
      </c>
      <c r="M36">
        <v>89</v>
      </c>
      <c r="N36">
        <v>1</v>
      </c>
      <c r="O36">
        <v>48</v>
      </c>
      <c r="P36">
        <v>4</v>
      </c>
      <c r="Q36">
        <v>0</v>
      </c>
      <c r="R36">
        <v>0</v>
      </c>
      <c r="S36">
        <v>2</v>
      </c>
      <c r="T36">
        <v>2</v>
      </c>
      <c r="U36">
        <v>1</v>
      </c>
      <c r="V36">
        <v>0</v>
      </c>
      <c r="W36">
        <v>0</v>
      </c>
      <c r="X36">
        <v>48.1</v>
      </c>
      <c r="Y36">
        <v>69.150000000000006</v>
      </c>
      <c r="Z36">
        <v>246</v>
      </c>
      <c r="AA36">
        <v>2</v>
      </c>
    </row>
    <row r="37" spans="1:27" x14ac:dyDescent="0.25">
      <c r="A37" t="s">
        <v>336</v>
      </c>
      <c r="B37" t="s">
        <v>79</v>
      </c>
      <c r="C37" t="s">
        <v>337</v>
      </c>
      <c r="D37" t="s">
        <v>4</v>
      </c>
      <c r="E37">
        <v>3</v>
      </c>
      <c r="F37" t="s">
        <v>81</v>
      </c>
      <c r="G37">
        <v>872</v>
      </c>
      <c r="H37">
        <v>58.13</v>
      </c>
      <c r="I37">
        <v>15</v>
      </c>
      <c r="J37">
        <v>11</v>
      </c>
      <c r="K37">
        <v>4</v>
      </c>
      <c r="L37">
        <v>566</v>
      </c>
      <c r="M37">
        <v>196</v>
      </c>
      <c r="N37">
        <v>4</v>
      </c>
      <c r="O37">
        <v>134</v>
      </c>
      <c r="P37">
        <v>15</v>
      </c>
      <c r="Q37">
        <v>3</v>
      </c>
      <c r="R37">
        <v>3</v>
      </c>
      <c r="S37">
        <v>6</v>
      </c>
      <c r="T37">
        <v>3</v>
      </c>
      <c r="U37">
        <v>2</v>
      </c>
      <c r="V37">
        <v>0</v>
      </c>
      <c r="W37">
        <v>0</v>
      </c>
      <c r="X37">
        <v>39.1</v>
      </c>
      <c r="Y37">
        <v>70.61</v>
      </c>
      <c r="Z37">
        <v>906</v>
      </c>
      <c r="AA37">
        <v>2</v>
      </c>
    </row>
    <row r="38" spans="1:27" x14ac:dyDescent="0.25">
      <c r="A38" t="s">
        <v>338</v>
      </c>
      <c r="B38" t="s">
        <v>79</v>
      </c>
      <c r="C38" t="s">
        <v>339</v>
      </c>
      <c r="D38" t="s">
        <v>4</v>
      </c>
      <c r="E38">
        <v>12</v>
      </c>
      <c r="F38" t="s">
        <v>92</v>
      </c>
      <c r="G38">
        <v>605.5</v>
      </c>
      <c r="H38">
        <v>67.28</v>
      </c>
      <c r="I38">
        <v>9</v>
      </c>
      <c r="J38">
        <v>9</v>
      </c>
      <c r="K38">
        <v>0</v>
      </c>
      <c r="L38">
        <v>412</v>
      </c>
      <c r="M38">
        <v>138</v>
      </c>
      <c r="N38">
        <v>4</v>
      </c>
      <c r="O38">
        <v>85</v>
      </c>
      <c r="P38">
        <v>8</v>
      </c>
      <c r="Q38">
        <v>1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50.4</v>
      </c>
      <c r="Y38">
        <v>69.72</v>
      </c>
      <c r="Z38">
        <v>80</v>
      </c>
      <c r="AA38">
        <v>2</v>
      </c>
    </row>
    <row r="39" spans="1:27" x14ac:dyDescent="0.25">
      <c r="A39" t="s">
        <v>348</v>
      </c>
      <c r="B39" t="s">
        <v>79</v>
      </c>
      <c r="C39" t="s">
        <v>349</v>
      </c>
      <c r="D39" t="s">
        <v>4</v>
      </c>
      <c r="E39">
        <v>9</v>
      </c>
      <c r="F39" t="s">
        <v>92</v>
      </c>
      <c r="G39">
        <v>573</v>
      </c>
      <c r="H39">
        <v>71.62</v>
      </c>
      <c r="I39">
        <v>8</v>
      </c>
      <c r="J39">
        <v>8</v>
      </c>
      <c r="K39">
        <v>0</v>
      </c>
      <c r="L39">
        <v>362</v>
      </c>
      <c r="M39">
        <v>131</v>
      </c>
      <c r="N39">
        <v>2</v>
      </c>
      <c r="O39">
        <v>78</v>
      </c>
      <c r="P39">
        <v>3</v>
      </c>
      <c r="Q39">
        <v>0</v>
      </c>
      <c r="R39">
        <v>0</v>
      </c>
      <c r="S39">
        <v>3</v>
      </c>
      <c r="T39">
        <v>1</v>
      </c>
      <c r="U39">
        <v>0</v>
      </c>
      <c r="V39">
        <v>0</v>
      </c>
      <c r="W39">
        <v>0</v>
      </c>
      <c r="X39">
        <v>33.299999999999997</v>
      </c>
      <c r="Y39">
        <v>69.41</v>
      </c>
      <c r="Z39">
        <v>233</v>
      </c>
      <c r="AA39">
        <v>2</v>
      </c>
    </row>
    <row r="40" spans="1:27" x14ac:dyDescent="0.25">
      <c r="A40" t="s">
        <v>352</v>
      </c>
      <c r="B40" t="s">
        <v>79</v>
      </c>
      <c r="C40" t="s">
        <v>353</v>
      </c>
      <c r="D40" t="s">
        <v>4</v>
      </c>
      <c r="E40">
        <v>10</v>
      </c>
      <c r="F40" t="s">
        <v>92</v>
      </c>
      <c r="G40">
        <v>301</v>
      </c>
      <c r="H40">
        <v>50.17</v>
      </c>
      <c r="I40">
        <v>6</v>
      </c>
      <c r="J40">
        <v>3</v>
      </c>
      <c r="K40">
        <v>3</v>
      </c>
      <c r="L40">
        <v>189</v>
      </c>
      <c r="M40">
        <v>74</v>
      </c>
      <c r="N40">
        <v>1</v>
      </c>
      <c r="O40">
        <v>53</v>
      </c>
      <c r="P40">
        <v>7</v>
      </c>
      <c r="Q40">
        <v>0</v>
      </c>
      <c r="R40">
        <v>0</v>
      </c>
      <c r="S40">
        <v>1</v>
      </c>
      <c r="T40">
        <v>1</v>
      </c>
      <c r="U40">
        <v>0</v>
      </c>
      <c r="V40">
        <v>0</v>
      </c>
      <c r="W40">
        <v>0</v>
      </c>
      <c r="X40">
        <v>60.5</v>
      </c>
      <c r="Y40">
        <v>70.39</v>
      </c>
      <c r="Z40">
        <v>90</v>
      </c>
      <c r="AA40">
        <v>2</v>
      </c>
    </row>
    <row r="41" spans="1:27" x14ac:dyDescent="0.25">
      <c r="A41" t="s">
        <v>364</v>
      </c>
      <c r="B41" t="s">
        <v>79</v>
      </c>
      <c r="C41" t="s">
        <v>365</v>
      </c>
      <c r="D41" t="s">
        <v>4</v>
      </c>
      <c r="E41">
        <v>16</v>
      </c>
      <c r="F41" t="s">
        <v>92</v>
      </c>
      <c r="G41">
        <v>314.5</v>
      </c>
      <c r="H41">
        <v>104.83</v>
      </c>
      <c r="I41">
        <v>3</v>
      </c>
      <c r="J41">
        <v>3</v>
      </c>
      <c r="K41">
        <v>0</v>
      </c>
      <c r="L41">
        <v>134</v>
      </c>
      <c r="M41">
        <v>53</v>
      </c>
      <c r="N41">
        <v>2</v>
      </c>
      <c r="O41">
        <v>25</v>
      </c>
      <c r="P41">
        <v>2</v>
      </c>
      <c r="Q41">
        <v>0</v>
      </c>
      <c r="R41">
        <v>0</v>
      </c>
      <c r="S41">
        <v>3</v>
      </c>
      <c r="T41">
        <v>3</v>
      </c>
      <c r="U41">
        <v>2</v>
      </c>
      <c r="V41">
        <v>2</v>
      </c>
      <c r="W41">
        <v>1</v>
      </c>
      <c r="X41">
        <v>3</v>
      </c>
      <c r="Y41">
        <v>68.67</v>
      </c>
      <c r="Z41">
        <v>0</v>
      </c>
      <c r="AA41">
        <v>2</v>
      </c>
    </row>
    <row r="42" spans="1:27" x14ac:dyDescent="0.25">
      <c r="A42" t="s">
        <v>328</v>
      </c>
      <c r="B42" t="s">
        <v>79</v>
      </c>
      <c r="C42" t="s">
        <v>329</v>
      </c>
      <c r="D42" t="s">
        <v>4</v>
      </c>
      <c r="E42">
        <v>4</v>
      </c>
      <c r="F42" t="s">
        <v>81</v>
      </c>
      <c r="G42">
        <v>822.5</v>
      </c>
      <c r="H42">
        <v>68.540000000000006</v>
      </c>
      <c r="I42">
        <v>12</v>
      </c>
      <c r="J42">
        <v>11</v>
      </c>
      <c r="K42">
        <v>1</v>
      </c>
      <c r="L42">
        <v>492</v>
      </c>
      <c r="M42">
        <v>191</v>
      </c>
      <c r="N42">
        <v>3</v>
      </c>
      <c r="O42">
        <v>109</v>
      </c>
      <c r="P42">
        <v>13</v>
      </c>
      <c r="Q42">
        <v>2</v>
      </c>
      <c r="R42">
        <v>2</v>
      </c>
      <c r="S42">
        <v>6</v>
      </c>
      <c r="T42">
        <v>3</v>
      </c>
      <c r="U42">
        <v>1</v>
      </c>
      <c r="V42">
        <v>0</v>
      </c>
      <c r="W42">
        <v>0</v>
      </c>
      <c r="X42">
        <v>35.700000000000003</v>
      </c>
      <c r="Y42">
        <v>70</v>
      </c>
      <c r="Z42">
        <v>792</v>
      </c>
      <c r="AA42">
        <v>2</v>
      </c>
    </row>
    <row r="43" spans="1:27" x14ac:dyDescent="0.25">
      <c r="A43" t="s">
        <v>342</v>
      </c>
      <c r="B43" t="s">
        <v>79</v>
      </c>
      <c r="C43" t="s">
        <v>343</v>
      </c>
      <c r="D43" t="s">
        <v>4</v>
      </c>
      <c r="E43">
        <v>1</v>
      </c>
      <c r="F43" t="s">
        <v>81</v>
      </c>
      <c r="G43">
        <v>980</v>
      </c>
      <c r="H43">
        <v>70</v>
      </c>
      <c r="I43">
        <v>14</v>
      </c>
      <c r="J43">
        <v>12</v>
      </c>
      <c r="K43">
        <v>2</v>
      </c>
      <c r="L43">
        <v>569</v>
      </c>
      <c r="M43">
        <v>216</v>
      </c>
      <c r="N43">
        <v>1</v>
      </c>
      <c r="O43">
        <v>119</v>
      </c>
      <c r="P43">
        <v>13</v>
      </c>
      <c r="Q43">
        <v>0</v>
      </c>
      <c r="R43">
        <v>0</v>
      </c>
      <c r="S43">
        <v>10</v>
      </c>
      <c r="T43">
        <v>5</v>
      </c>
      <c r="U43">
        <v>4</v>
      </c>
      <c r="V43">
        <v>2</v>
      </c>
      <c r="W43">
        <v>0</v>
      </c>
      <c r="X43">
        <v>25.4</v>
      </c>
      <c r="Y43">
        <v>69.78</v>
      </c>
      <c r="Z43" s="6">
        <v>1982</v>
      </c>
      <c r="AA43">
        <v>2</v>
      </c>
    </row>
    <row r="44" spans="1:27" x14ac:dyDescent="0.25">
      <c r="A44" t="s">
        <v>258</v>
      </c>
      <c r="B44" t="s">
        <v>79</v>
      </c>
      <c r="C44" t="s">
        <v>259</v>
      </c>
      <c r="D44" t="s">
        <v>4</v>
      </c>
      <c r="E44">
        <v>16</v>
      </c>
      <c r="F44" t="s">
        <v>92</v>
      </c>
      <c r="G44">
        <v>16.5</v>
      </c>
      <c r="H44">
        <v>16.5</v>
      </c>
      <c r="I44">
        <v>1</v>
      </c>
      <c r="J44">
        <v>0</v>
      </c>
      <c r="K44">
        <v>1</v>
      </c>
      <c r="L44">
        <v>24</v>
      </c>
      <c r="M44">
        <v>3</v>
      </c>
      <c r="N44">
        <v>0</v>
      </c>
      <c r="O44">
        <v>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83</v>
      </c>
      <c r="Y44">
        <v>73</v>
      </c>
      <c r="Z44">
        <v>0</v>
      </c>
      <c r="AA44">
        <v>2</v>
      </c>
    </row>
    <row r="45" spans="1:27" x14ac:dyDescent="0.25">
      <c r="A45" t="s">
        <v>366</v>
      </c>
      <c r="B45" t="s">
        <v>79</v>
      </c>
      <c r="C45" t="s">
        <v>367</v>
      </c>
      <c r="D45" t="s">
        <v>4</v>
      </c>
      <c r="E45">
        <v>16</v>
      </c>
      <c r="F45" t="s">
        <v>81</v>
      </c>
      <c r="G45">
        <v>200.5</v>
      </c>
      <c r="H45">
        <v>66.83</v>
      </c>
      <c r="I45">
        <v>3</v>
      </c>
      <c r="J45">
        <v>3</v>
      </c>
      <c r="K45">
        <v>0</v>
      </c>
      <c r="L45">
        <v>136</v>
      </c>
      <c r="M45">
        <v>49</v>
      </c>
      <c r="N45">
        <v>0</v>
      </c>
      <c r="O45">
        <v>27</v>
      </c>
      <c r="P45">
        <v>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47</v>
      </c>
      <c r="Y45">
        <v>69.83</v>
      </c>
      <c r="Z45">
        <v>31</v>
      </c>
      <c r="AA45">
        <v>2</v>
      </c>
    </row>
    <row r="46" spans="1:27" x14ac:dyDescent="0.25">
      <c r="A46" t="s">
        <v>340</v>
      </c>
      <c r="B46" t="s">
        <v>79</v>
      </c>
      <c r="C46" t="s">
        <v>341</v>
      </c>
      <c r="D46" t="s">
        <v>4</v>
      </c>
      <c r="E46">
        <v>8</v>
      </c>
      <c r="F46" t="s">
        <v>81</v>
      </c>
      <c r="G46">
        <v>384.5</v>
      </c>
      <c r="H46">
        <v>64.08</v>
      </c>
      <c r="I46">
        <v>6</v>
      </c>
      <c r="J46">
        <v>5</v>
      </c>
      <c r="K46">
        <v>1</v>
      </c>
      <c r="L46">
        <v>256</v>
      </c>
      <c r="M46">
        <v>79</v>
      </c>
      <c r="N46">
        <v>3</v>
      </c>
      <c r="O46">
        <v>53</v>
      </c>
      <c r="P46">
        <v>3</v>
      </c>
      <c r="Q46">
        <v>2</v>
      </c>
      <c r="R46">
        <v>2</v>
      </c>
      <c r="S46">
        <v>1</v>
      </c>
      <c r="T46">
        <v>1</v>
      </c>
      <c r="U46">
        <v>1</v>
      </c>
      <c r="V46">
        <v>1</v>
      </c>
      <c r="W46">
        <v>0</v>
      </c>
      <c r="X46">
        <v>47.7</v>
      </c>
      <c r="Y46">
        <v>70.59</v>
      </c>
      <c r="Z46">
        <v>336</v>
      </c>
      <c r="AA46">
        <v>2</v>
      </c>
    </row>
    <row r="47" spans="1:27" x14ac:dyDescent="0.25">
      <c r="A47" t="s">
        <v>354</v>
      </c>
      <c r="B47" t="s">
        <v>79</v>
      </c>
      <c r="C47" t="s">
        <v>355</v>
      </c>
      <c r="D47" t="s">
        <v>4</v>
      </c>
      <c r="E47">
        <v>16</v>
      </c>
      <c r="F47" t="s">
        <v>92</v>
      </c>
      <c r="G47">
        <v>57</v>
      </c>
      <c r="H47">
        <v>28.5</v>
      </c>
      <c r="I47">
        <v>2</v>
      </c>
      <c r="J47">
        <v>0</v>
      </c>
      <c r="K47">
        <v>2</v>
      </c>
      <c r="L47">
        <v>45</v>
      </c>
      <c r="M47">
        <v>14</v>
      </c>
      <c r="N47">
        <v>0</v>
      </c>
      <c r="O47">
        <v>11</v>
      </c>
      <c r="P47">
        <v>2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75.5</v>
      </c>
      <c r="Y47">
        <v>71.25</v>
      </c>
      <c r="Z47">
        <v>0</v>
      </c>
      <c r="AA47">
        <v>2</v>
      </c>
    </row>
    <row r="48" spans="1:27" x14ac:dyDescent="0.25">
      <c r="A48" t="s">
        <v>330</v>
      </c>
      <c r="B48" t="s">
        <v>79</v>
      </c>
      <c r="C48" t="s">
        <v>331</v>
      </c>
      <c r="D48" t="s">
        <v>4</v>
      </c>
      <c r="E48">
        <v>2</v>
      </c>
      <c r="F48" t="s">
        <v>81</v>
      </c>
      <c r="G48">
        <v>1100</v>
      </c>
      <c r="H48">
        <v>64.709999999999994</v>
      </c>
      <c r="I48">
        <v>17</v>
      </c>
      <c r="J48">
        <v>14</v>
      </c>
      <c r="K48">
        <v>3</v>
      </c>
      <c r="L48">
        <v>665</v>
      </c>
      <c r="M48">
        <v>257</v>
      </c>
      <c r="N48">
        <v>4</v>
      </c>
      <c r="O48">
        <v>171</v>
      </c>
      <c r="P48">
        <v>16</v>
      </c>
      <c r="Q48">
        <v>3</v>
      </c>
      <c r="R48">
        <v>3</v>
      </c>
      <c r="S48">
        <v>6</v>
      </c>
      <c r="T48">
        <v>2</v>
      </c>
      <c r="U48">
        <v>2</v>
      </c>
      <c r="V48">
        <v>1</v>
      </c>
      <c r="W48">
        <v>0</v>
      </c>
      <c r="X48">
        <v>38.6</v>
      </c>
      <c r="Y48">
        <v>70.239999999999995</v>
      </c>
      <c r="Z48">
        <v>942</v>
      </c>
      <c r="AA48">
        <v>2</v>
      </c>
    </row>
    <row r="49" spans="1:27" x14ac:dyDescent="0.25">
      <c r="A49" t="s">
        <v>344</v>
      </c>
      <c r="B49" t="s">
        <v>79</v>
      </c>
      <c r="C49" t="s">
        <v>345</v>
      </c>
      <c r="D49" t="s">
        <v>4</v>
      </c>
      <c r="E49">
        <v>11</v>
      </c>
      <c r="F49" t="s">
        <v>92</v>
      </c>
      <c r="G49">
        <v>170.5</v>
      </c>
      <c r="H49">
        <v>56.83</v>
      </c>
      <c r="I49">
        <v>3</v>
      </c>
      <c r="J49">
        <v>1</v>
      </c>
      <c r="K49">
        <v>2</v>
      </c>
      <c r="L49">
        <v>89</v>
      </c>
      <c r="M49">
        <v>42</v>
      </c>
      <c r="N49">
        <v>2</v>
      </c>
      <c r="O49">
        <v>24</v>
      </c>
      <c r="P49">
        <v>5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59</v>
      </c>
      <c r="Y49">
        <v>70.44</v>
      </c>
      <c r="Z49">
        <v>11</v>
      </c>
      <c r="AA49">
        <v>2</v>
      </c>
    </row>
    <row r="50" spans="1:27" x14ac:dyDescent="0.25">
      <c r="A50" t="s">
        <v>332</v>
      </c>
      <c r="B50" t="s">
        <v>79</v>
      </c>
      <c r="C50" t="s">
        <v>333</v>
      </c>
      <c r="D50" t="s">
        <v>4</v>
      </c>
      <c r="E50">
        <v>13</v>
      </c>
      <c r="F50" t="s">
        <v>92</v>
      </c>
      <c r="G50">
        <v>678.5</v>
      </c>
      <c r="H50">
        <v>61.68</v>
      </c>
      <c r="I50">
        <v>11</v>
      </c>
      <c r="J50">
        <v>7</v>
      </c>
      <c r="K50">
        <v>4</v>
      </c>
      <c r="L50">
        <v>397</v>
      </c>
      <c r="M50">
        <v>153</v>
      </c>
      <c r="N50">
        <v>4</v>
      </c>
      <c r="O50">
        <v>84</v>
      </c>
      <c r="P50">
        <v>10</v>
      </c>
      <c r="Q50">
        <v>0</v>
      </c>
      <c r="R50">
        <v>0</v>
      </c>
      <c r="S50">
        <v>4</v>
      </c>
      <c r="T50">
        <v>1</v>
      </c>
      <c r="U50">
        <v>1</v>
      </c>
      <c r="V50">
        <v>1</v>
      </c>
      <c r="W50">
        <v>0</v>
      </c>
      <c r="X50">
        <v>44.7</v>
      </c>
      <c r="Y50">
        <v>69.53</v>
      </c>
      <c r="Z50">
        <v>359</v>
      </c>
      <c r="AA50">
        <v>2</v>
      </c>
    </row>
    <row r="51" spans="1:27" x14ac:dyDescent="0.25">
      <c r="A51" t="s">
        <v>312</v>
      </c>
      <c r="B51" t="s">
        <v>79</v>
      </c>
      <c r="C51" t="s">
        <v>313</v>
      </c>
      <c r="D51" t="s">
        <v>2</v>
      </c>
      <c r="E51">
        <v>15</v>
      </c>
      <c r="F51" t="s">
        <v>92</v>
      </c>
      <c r="G51">
        <v>168</v>
      </c>
      <c r="H51">
        <v>56</v>
      </c>
      <c r="I51">
        <v>3</v>
      </c>
      <c r="J51">
        <v>1</v>
      </c>
      <c r="K51">
        <v>2</v>
      </c>
      <c r="L51">
        <v>104</v>
      </c>
      <c r="M51">
        <v>38</v>
      </c>
      <c r="N51">
        <v>1</v>
      </c>
      <c r="O51">
        <v>14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49</v>
      </c>
      <c r="Y51">
        <v>69.11</v>
      </c>
      <c r="Z51">
        <v>55</v>
      </c>
      <c r="AA51">
        <v>6</v>
      </c>
    </row>
    <row r="52" spans="1:27" x14ac:dyDescent="0.25">
      <c r="A52" t="s">
        <v>298</v>
      </c>
      <c r="B52" t="s">
        <v>79</v>
      </c>
      <c r="C52" t="s">
        <v>299</v>
      </c>
      <c r="D52" t="s">
        <v>2</v>
      </c>
      <c r="E52">
        <v>4</v>
      </c>
      <c r="F52" t="s">
        <v>81</v>
      </c>
      <c r="G52">
        <v>937.5</v>
      </c>
      <c r="H52">
        <v>72.12</v>
      </c>
      <c r="I52">
        <v>13</v>
      </c>
      <c r="J52">
        <v>11</v>
      </c>
      <c r="K52">
        <v>2</v>
      </c>
      <c r="L52">
        <v>491</v>
      </c>
      <c r="M52">
        <v>212</v>
      </c>
      <c r="N52">
        <v>6</v>
      </c>
      <c r="O52">
        <v>120</v>
      </c>
      <c r="P52">
        <v>15</v>
      </c>
      <c r="Q52">
        <v>2</v>
      </c>
      <c r="R52">
        <v>2</v>
      </c>
      <c r="S52">
        <v>7</v>
      </c>
      <c r="T52">
        <v>4</v>
      </c>
      <c r="U52">
        <v>3</v>
      </c>
      <c r="V52">
        <v>2</v>
      </c>
      <c r="W52">
        <v>0</v>
      </c>
      <c r="X52">
        <v>33.4</v>
      </c>
      <c r="Y52">
        <v>69.81</v>
      </c>
      <c r="Z52" s="6">
        <v>1216</v>
      </c>
      <c r="AA52">
        <v>6</v>
      </c>
    </row>
    <row r="53" spans="1:27" x14ac:dyDescent="0.25">
      <c r="A53" t="s">
        <v>152</v>
      </c>
      <c r="B53" t="s">
        <v>79</v>
      </c>
      <c r="C53" t="s">
        <v>153</v>
      </c>
      <c r="D53" t="s">
        <v>2</v>
      </c>
      <c r="E53">
        <v>8</v>
      </c>
      <c r="F53" t="s">
        <v>103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6</v>
      </c>
    </row>
    <row r="54" spans="1:27" x14ac:dyDescent="0.25">
      <c r="A54" t="s">
        <v>302</v>
      </c>
      <c r="B54" t="s">
        <v>79</v>
      </c>
      <c r="C54" t="s">
        <v>303</v>
      </c>
      <c r="D54" t="s">
        <v>2</v>
      </c>
      <c r="E54">
        <v>9</v>
      </c>
      <c r="F54" t="s">
        <v>92</v>
      </c>
      <c r="G54">
        <v>846.5</v>
      </c>
      <c r="H54">
        <v>70.540000000000006</v>
      </c>
      <c r="I54">
        <v>12</v>
      </c>
      <c r="J54">
        <v>11</v>
      </c>
      <c r="K54">
        <v>1</v>
      </c>
      <c r="L54">
        <v>507</v>
      </c>
      <c r="M54">
        <v>192</v>
      </c>
      <c r="N54">
        <v>4</v>
      </c>
      <c r="O54">
        <v>112</v>
      </c>
      <c r="P54">
        <v>13</v>
      </c>
      <c r="Q54">
        <v>0</v>
      </c>
      <c r="R54">
        <v>0</v>
      </c>
      <c r="S54">
        <v>6</v>
      </c>
      <c r="T54">
        <v>2</v>
      </c>
      <c r="U54">
        <v>1</v>
      </c>
      <c r="V54">
        <v>1</v>
      </c>
      <c r="W54">
        <v>0</v>
      </c>
      <c r="X54">
        <v>30.2</v>
      </c>
      <c r="Y54">
        <v>69.52</v>
      </c>
      <c r="Z54" s="6">
        <v>1291</v>
      </c>
      <c r="AA54">
        <v>6</v>
      </c>
    </row>
    <row r="55" spans="1:27" x14ac:dyDescent="0.25">
      <c r="A55" t="s">
        <v>326</v>
      </c>
      <c r="B55" t="s">
        <v>79</v>
      </c>
      <c r="C55" t="s">
        <v>327</v>
      </c>
      <c r="D55" t="s">
        <v>2</v>
      </c>
      <c r="E55">
        <v>14</v>
      </c>
      <c r="F55" t="s">
        <v>103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6</v>
      </c>
    </row>
    <row r="56" spans="1:27" x14ac:dyDescent="0.25">
      <c r="A56" t="s">
        <v>310</v>
      </c>
      <c r="B56" t="s">
        <v>79</v>
      </c>
      <c r="C56" t="s">
        <v>311</v>
      </c>
      <c r="D56" t="s">
        <v>2</v>
      </c>
      <c r="E56">
        <v>16</v>
      </c>
      <c r="F56" t="s">
        <v>92</v>
      </c>
      <c r="G56">
        <v>250.5</v>
      </c>
      <c r="H56">
        <v>41.75</v>
      </c>
      <c r="I56">
        <v>6</v>
      </c>
      <c r="J56">
        <v>2</v>
      </c>
      <c r="K56">
        <v>4</v>
      </c>
      <c r="L56">
        <v>190</v>
      </c>
      <c r="M56">
        <v>50</v>
      </c>
      <c r="N56">
        <v>3</v>
      </c>
      <c r="O56">
        <v>41</v>
      </c>
      <c r="P56">
        <v>4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61.2</v>
      </c>
      <c r="Y56">
        <v>70.56</v>
      </c>
      <c r="Z56">
        <v>50</v>
      </c>
      <c r="AA56">
        <v>6</v>
      </c>
    </row>
    <row r="57" spans="1:27" x14ac:dyDescent="0.25">
      <c r="A57" t="s">
        <v>294</v>
      </c>
      <c r="B57" t="s">
        <v>79</v>
      </c>
      <c r="C57" t="s">
        <v>295</v>
      </c>
      <c r="D57" t="s">
        <v>2</v>
      </c>
      <c r="E57">
        <v>7</v>
      </c>
      <c r="F57" t="s">
        <v>81</v>
      </c>
      <c r="G57">
        <v>1143</v>
      </c>
      <c r="H57">
        <v>63.5</v>
      </c>
      <c r="I57">
        <v>18</v>
      </c>
      <c r="J57">
        <v>13</v>
      </c>
      <c r="K57">
        <v>5</v>
      </c>
      <c r="L57">
        <v>672</v>
      </c>
      <c r="M57">
        <v>250</v>
      </c>
      <c r="N57">
        <v>5</v>
      </c>
      <c r="O57">
        <v>152</v>
      </c>
      <c r="P57">
        <v>18</v>
      </c>
      <c r="Q57">
        <v>1</v>
      </c>
      <c r="R57">
        <v>1</v>
      </c>
      <c r="S57">
        <v>8</v>
      </c>
      <c r="T57">
        <v>3</v>
      </c>
      <c r="U57">
        <v>3</v>
      </c>
      <c r="V57">
        <v>3</v>
      </c>
      <c r="W57">
        <v>1</v>
      </c>
      <c r="X57">
        <v>39.299999999999997</v>
      </c>
      <c r="Y57">
        <v>69.98</v>
      </c>
      <c r="Z57" s="6">
        <v>1208</v>
      </c>
      <c r="AA57">
        <v>6</v>
      </c>
    </row>
    <row r="58" spans="1:27" x14ac:dyDescent="0.25">
      <c r="A58" t="s">
        <v>320</v>
      </c>
      <c r="B58" t="s">
        <v>79</v>
      </c>
      <c r="C58" t="s">
        <v>321</v>
      </c>
      <c r="D58" t="s">
        <v>2</v>
      </c>
      <c r="E58">
        <v>16</v>
      </c>
      <c r="F58" t="s">
        <v>92</v>
      </c>
      <c r="G58">
        <v>226</v>
      </c>
      <c r="H58">
        <v>45.2</v>
      </c>
      <c r="I58">
        <v>5</v>
      </c>
      <c r="J58">
        <v>2</v>
      </c>
      <c r="K58">
        <v>3</v>
      </c>
      <c r="L58">
        <v>151</v>
      </c>
      <c r="M58">
        <v>56</v>
      </c>
      <c r="N58">
        <v>0</v>
      </c>
      <c r="O58">
        <v>39</v>
      </c>
      <c r="P58">
        <v>6</v>
      </c>
      <c r="Q58">
        <v>0</v>
      </c>
      <c r="R58">
        <v>0</v>
      </c>
      <c r="S58">
        <v>1</v>
      </c>
      <c r="T58">
        <v>0</v>
      </c>
      <c r="U58">
        <v>0</v>
      </c>
      <c r="V58">
        <v>0</v>
      </c>
      <c r="W58">
        <v>0</v>
      </c>
      <c r="X58">
        <v>51.6</v>
      </c>
      <c r="Y58">
        <v>70.209999999999994</v>
      </c>
      <c r="Z58">
        <v>69</v>
      </c>
      <c r="AA58">
        <v>6</v>
      </c>
    </row>
    <row r="59" spans="1:27" x14ac:dyDescent="0.25">
      <c r="A59" t="s">
        <v>316</v>
      </c>
      <c r="B59" t="s">
        <v>79</v>
      </c>
      <c r="C59" t="s">
        <v>317</v>
      </c>
      <c r="D59" t="s">
        <v>2</v>
      </c>
      <c r="E59">
        <v>6</v>
      </c>
      <c r="F59" t="s">
        <v>92</v>
      </c>
      <c r="G59">
        <v>183</v>
      </c>
      <c r="H59">
        <v>45.75</v>
      </c>
      <c r="I59">
        <v>4</v>
      </c>
      <c r="J59">
        <v>2</v>
      </c>
      <c r="K59">
        <v>2</v>
      </c>
      <c r="L59">
        <v>148</v>
      </c>
      <c r="M59">
        <v>33</v>
      </c>
      <c r="N59">
        <v>3</v>
      </c>
      <c r="O59">
        <v>30</v>
      </c>
      <c r="P59">
        <v>2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58.3</v>
      </c>
      <c r="Y59">
        <v>70.25</v>
      </c>
      <c r="Z59">
        <v>28</v>
      </c>
      <c r="AA59">
        <v>6</v>
      </c>
    </row>
    <row r="60" spans="1:27" x14ac:dyDescent="0.25">
      <c r="A60" t="s">
        <v>314</v>
      </c>
      <c r="B60" t="s">
        <v>79</v>
      </c>
      <c r="C60" t="s">
        <v>315</v>
      </c>
      <c r="D60" t="s">
        <v>2</v>
      </c>
      <c r="E60">
        <v>13</v>
      </c>
      <c r="F60" t="s">
        <v>92</v>
      </c>
      <c r="G60">
        <v>252.5</v>
      </c>
      <c r="H60">
        <v>42.08</v>
      </c>
      <c r="I60">
        <v>6</v>
      </c>
      <c r="J60">
        <v>2</v>
      </c>
      <c r="K60">
        <v>4</v>
      </c>
      <c r="L60">
        <v>180</v>
      </c>
      <c r="M60">
        <v>61</v>
      </c>
      <c r="N60">
        <v>0</v>
      </c>
      <c r="O60">
        <v>41</v>
      </c>
      <c r="P60">
        <v>6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>
        <v>0</v>
      </c>
      <c r="X60">
        <v>59</v>
      </c>
      <c r="Y60">
        <v>70.63</v>
      </c>
      <c r="Z60">
        <v>54</v>
      </c>
      <c r="AA60">
        <v>6</v>
      </c>
    </row>
    <row r="61" spans="1:27" x14ac:dyDescent="0.25">
      <c r="A61" t="s">
        <v>376</v>
      </c>
      <c r="B61" t="s">
        <v>79</v>
      </c>
      <c r="C61" t="s">
        <v>377</v>
      </c>
      <c r="D61" t="s">
        <v>2</v>
      </c>
      <c r="E61">
        <v>16</v>
      </c>
      <c r="F61" t="s">
        <v>92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6</v>
      </c>
    </row>
    <row r="62" spans="1:27" x14ac:dyDescent="0.25">
      <c r="A62" t="s">
        <v>322</v>
      </c>
      <c r="B62" t="s">
        <v>79</v>
      </c>
      <c r="C62" t="s">
        <v>323</v>
      </c>
      <c r="D62" t="s">
        <v>2</v>
      </c>
      <c r="E62">
        <v>5</v>
      </c>
      <c r="F62" t="s">
        <v>92</v>
      </c>
      <c r="G62">
        <v>434.5</v>
      </c>
      <c r="H62">
        <v>48.28</v>
      </c>
      <c r="I62">
        <v>9</v>
      </c>
      <c r="J62">
        <v>5</v>
      </c>
      <c r="K62">
        <v>4</v>
      </c>
      <c r="L62">
        <v>305</v>
      </c>
      <c r="M62">
        <v>102</v>
      </c>
      <c r="N62">
        <v>1</v>
      </c>
      <c r="O62">
        <v>84</v>
      </c>
      <c r="P62">
        <v>12</v>
      </c>
      <c r="Q62">
        <v>0</v>
      </c>
      <c r="R62">
        <v>0</v>
      </c>
      <c r="S62">
        <v>2</v>
      </c>
      <c r="T62">
        <v>1</v>
      </c>
      <c r="U62">
        <v>1</v>
      </c>
      <c r="V62">
        <v>0</v>
      </c>
      <c r="W62">
        <v>0</v>
      </c>
      <c r="X62">
        <v>46.6</v>
      </c>
      <c r="Y62">
        <v>71.209999999999994</v>
      </c>
      <c r="Z62">
        <v>192</v>
      </c>
      <c r="AA62">
        <v>6</v>
      </c>
    </row>
    <row r="63" spans="1:27" x14ac:dyDescent="0.25">
      <c r="A63" t="s">
        <v>306</v>
      </c>
      <c r="B63" t="s">
        <v>79</v>
      </c>
      <c r="C63" t="s">
        <v>307</v>
      </c>
      <c r="D63" t="s">
        <v>2</v>
      </c>
      <c r="E63">
        <v>16</v>
      </c>
      <c r="F63" t="s">
        <v>81</v>
      </c>
      <c r="G63">
        <v>608.5</v>
      </c>
      <c r="H63">
        <v>55.32</v>
      </c>
      <c r="I63">
        <v>11</v>
      </c>
      <c r="J63">
        <v>8</v>
      </c>
      <c r="K63">
        <v>3</v>
      </c>
      <c r="L63">
        <v>417</v>
      </c>
      <c r="M63">
        <v>124</v>
      </c>
      <c r="N63">
        <v>6</v>
      </c>
      <c r="O63">
        <v>104</v>
      </c>
      <c r="P63">
        <v>11</v>
      </c>
      <c r="Q63">
        <v>4</v>
      </c>
      <c r="R63">
        <v>4</v>
      </c>
      <c r="S63">
        <v>4</v>
      </c>
      <c r="T63">
        <v>2</v>
      </c>
      <c r="U63">
        <v>2</v>
      </c>
      <c r="V63">
        <v>1</v>
      </c>
      <c r="W63">
        <v>0</v>
      </c>
      <c r="X63">
        <v>39.6</v>
      </c>
      <c r="Y63">
        <v>71.239999999999995</v>
      </c>
      <c r="Z63">
        <v>961</v>
      </c>
      <c r="AA63">
        <v>6</v>
      </c>
    </row>
    <row r="64" spans="1:27" x14ac:dyDescent="0.25">
      <c r="A64" t="s">
        <v>300</v>
      </c>
      <c r="B64" t="s">
        <v>79</v>
      </c>
      <c r="C64" t="s">
        <v>301</v>
      </c>
      <c r="D64" t="s">
        <v>2</v>
      </c>
      <c r="E64">
        <v>2</v>
      </c>
      <c r="F64" t="s">
        <v>81</v>
      </c>
      <c r="G64">
        <v>995.5</v>
      </c>
      <c r="H64">
        <v>71.11</v>
      </c>
      <c r="I64">
        <v>14</v>
      </c>
      <c r="J64">
        <v>10</v>
      </c>
      <c r="K64">
        <v>4</v>
      </c>
      <c r="L64">
        <v>496</v>
      </c>
      <c r="M64">
        <v>199</v>
      </c>
      <c r="N64">
        <v>12</v>
      </c>
      <c r="O64">
        <v>123</v>
      </c>
      <c r="P64">
        <v>16</v>
      </c>
      <c r="Q64">
        <v>0</v>
      </c>
      <c r="R64">
        <v>0</v>
      </c>
      <c r="S64">
        <v>5</v>
      </c>
      <c r="T64">
        <v>5</v>
      </c>
      <c r="U64">
        <v>4</v>
      </c>
      <c r="V64">
        <v>4</v>
      </c>
      <c r="W64">
        <v>1</v>
      </c>
      <c r="X64">
        <v>33.799999999999997</v>
      </c>
      <c r="Y64">
        <v>69.7</v>
      </c>
      <c r="Z64" s="6">
        <v>2043</v>
      </c>
      <c r="AA64">
        <v>6</v>
      </c>
    </row>
    <row r="65" spans="1:27" x14ac:dyDescent="0.25">
      <c r="A65" t="s">
        <v>318</v>
      </c>
      <c r="B65" t="s">
        <v>79</v>
      </c>
      <c r="C65" t="s">
        <v>319</v>
      </c>
      <c r="D65" t="s">
        <v>2</v>
      </c>
      <c r="E65">
        <v>16</v>
      </c>
      <c r="F65" t="s">
        <v>92</v>
      </c>
      <c r="G65">
        <v>300.5</v>
      </c>
      <c r="H65">
        <v>42.93</v>
      </c>
      <c r="I65">
        <v>7</v>
      </c>
      <c r="J65">
        <v>3</v>
      </c>
      <c r="K65">
        <v>4</v>
      </c>
      <c r="L65">
        <v>242</v>
      </c>
      <c r="M65">
        <v>61</v>
      </c>
      <c r="N65">
        <v>2</v>
      </c>
      <c r="O65">
        <v>51</v>
      </c>
      <c r="P65">
        <v>4</v>
      </c>
      <c r="Q65">
        <v>0</v>
      </c>
      <c r="R65">
        <v>0</v>
      </c>
      <c r="S65">
        <v>1</v>
      </c>
      <c r="T65">
        <v>1</v>
      </c>
      <c r="U65">
        <v>0</v>
      </c>
      <c r="V65">
        <v>0</v>
      </c>
      <c r="W65">
        <v>0</v>
      </c>
      <c r="X65">
        <v>61.4</v>
      </c>
      <c r="Y65">
        <v>70.599999999999994</v>
      </c>
      <c r="Z65">
        <v>85</v>
      </c>
      <c r="AA65">
        <v>6</v>
      </c>
    </row>
    <row r="66" spans="1:27" x14ac:dyDescent="0.25">
      <c r="A66" t="s">
        <v>324</v>
      </c>
      <c r="B66" t="s">
        <v>79</v>
      </c>
      <c r="C66" t="s">
        <v>325</v>
      </c>
      <c r="D66" t="s">
        <v>2</v>
      </c>
      <c r="E66">
        <v>12</v>
      </c>
      <c r="F66" t="s">
        <v>103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6</v>
      </c>
    </row>
    <row r="67" spans="1:27" x14ac:dyDescent="0.25">
      <c r="A67" t="s">
        <v>308</v>
      </c>
      <c r="B67" t="s">
        <v>79</v>
      </c>
      <c r="C67" t="s">
        <v>309</v>
      </c>
      <c r="D67" t="s">
        <v>2</v>
      </c>
      <c r="E67">
        <v>1</v>
      </c>
      <c r="F67" t="s">
        <v>81</v>
      </c>
      <c r="G67">
        <v>377</v>
      </c>
      <c r="H67">
        <v>53.86</v>
      </c>
      <c r="I67">
        <v>7</v>
      </c>
      <c r="J67">
        <v>5</v>
      </c>
      <c r="K67">
        <v>2</v>
      </c>
      <c r="L67">
        <v>243</v>
      </c>
      <c r="M67">
        <v>91</v>
      </c>
      <c r="N67">
        <v>1</v>
      </c>
      <c r="O67">
        <v>71</v>
      </c>
      <c r="P67">
        <v>6</v>
      </c>
      <c r="Q67">
        <v>2</v>
      </c>
      <c r="R67">
        <v>2</v>
      </c>
      <c r="S67">
        <v>3</v>
      </c>
      <c r="T67">
        <v>0</v>
      </c>
      <c r="U67">
        <v>0</v>
      </c>
      <c r="V67">
        <v>0</v>
      </c>
      <c r="W67">
        <v>0</v>
      </c>
      <c r="X67">
        <v>40</v>
      </c>
      <c r="Y67">
        <v>71.13</v>
      </c>
      <c r="Z67">
        <v>334</v>
      </c>
      <c r="AA67">
        <v>6</v>
      </c>
    </row>
    <row r="68" spans="1:27" x14ac:dyDescent="0.25">
      <c r="A68" t="s">
        <v>146</v>
      </c>
      <c r="B68" t="s">
        <v>79</v>
      </c>
      <c r="C68" t="s">
        <v>147</v>
      </c>
      <c r="D68" t="s">
        <v>2</v>
      </c>
      <c r="E68">
        <v>11</v>
      </c>
      <c r="F68" t="s">
        <v>103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6</v>
      </c>
    </row>
    <row r="69" spans="1:27" x14ac:dyDescent="0.25">
      <c r="A69" t="s">
        <v>296</v>
      </c>
      <c r="B69" t="s">
        <v>79</v>
      </c>
      <c r="C69" t="s">
        <v>297</v>
      </c>
      <c r="D69" t="s">
        <v>2</v>
      </c>
      <c r="E69">
        <v>3</v>
      </c>
      <c r="F69" t="s">
        <v>81</v>
      </c>
      <c r="G69">
        <v>874.5</v>
      </c>
      <c r="H69">
        <v>54.66</v>
      </c>
      <c r="I69">
        <v>16</v>
      </c>
      <c r="J69">
        <v>10</v>
      </c>
      <c r="K69">
        <v>6</v>
      </c>
      <c r="L69">
        <v>580</v>
      </c>
      <c r="M69">
        <v>193</v>
      </c>
      <c r="N69">
        <v>5</v>
      </c>
      <c r="O69">
        <v>123</v>
      </c>
      <c r="P69">
        <v>16</v>
      </c>
      <c r="Q69">
        <v>1</v>
      </c>
      <c r="R69">
        <v>1</v>
      </c>
      <c r="S69">
        <v>6</v>
      </c>
      <c r="T69">
        <v>2</v>
      </c>
      <c r="U69">
        <v>0</v>
      </c>
      <c r="V69">
        <v>0</v>
      </c>
      <c r="W69">
        <v>0</v>
      </c>
      <c r="X69">
        <v>43.7</v>
      </c>
      <c r="Y69">
        <v>70.45</v>
      </c>
      <c r="Z69">
        <v>605</v>
      </c>
      <c r="AA69">
        <v>6</v>
      </c>
    </row>
    <row r="70" spans="1:27" x14ac:dyDescent="0.25">
      <c r="A70" t="s">
        <v>304</v>
      </c>
      <c r="B70" t="s">
        <v>79</v>
      </c>
      <c r="C70" t="s">
        <v>305</v>
      </c>
      <c r="D70" t="s">
        <v>2</v>
      </c>
      <c r="E70">
        <v>10</v>
      </c>
      <c r="F70" t="s">
        <v>92</v>
      </c>
      <c r="G70">
        <v>679</v>
      </c>
      <c r="H70">
        <v>75.44</v>
      </c>
      <c r="I70">
        <v>9</v>
      </c>
      <c r="J70">
        <v>7</v>
      </c>
      <c r="K70">
        <v>2</v>
      </c>
      <c r="L70">
        <v>352</v>
      </c>
      <c r="M70">
        <v>140</v>
      </c>
      <c r="N70">
        <v>9</v>
      </c>
      <c r="O70">
        <v>70</v>
      </c>
      <c r="P70">
        <v>5</v>
      </c>
      <c r="Q70">
        <v>0</v>
      </c>
      <c r="R70">
        <v>0</v>
      </c>
      <c r="S70">
        <v>4</v>
      </c>
      <c r="T70">
        <v>2</v>
      </c>
      <c r="U70">
        <v>1</v>
      </c>
      <c r="V70">
        <v>1</v>
      </c>
      <c r="W70">
        <v>0</v>
      </c>
      <c r="X70">
        <v>32.4</v>
      </c>
      <c r="Y70">
        <v>68.69</v>
      </c>
      <c r="Z70">
        <v>529</v>
      </c>
      <c r="AA70">
        <v>6</v>
      </c>
    </row>
    <row r="71" spans="1:27" x14ac:dyDescent="0.25">
      <c r="A71" t="s">
        <v>262</v>
      </c>
      <c r="B71" t="s">
        <v>79</v>
      </c>
      <c r="C71" t="s">
        <v>263</v>
      </c>
      <c r="D71" t="s">
        <v>7</v>
      </c>
      <c r="E71">
        <v>3</v>
      </c>
      <c r="F71" t="s">
        <v>92</v>
      </c>
      <c r="G71">
        <v>1180.5</v>
      </c>
      <c r="H71">
        <v>73.78</v>
      </c>
      <c r="I71">
        <v>16</v>
      </c>
      <c r="J71">
        <v>15</v>
      </c>
      <c r="K71">
        <v>1</v>
      </c>
      <c r="L71">
        <v>673</v>
      </c>
      <c r="M71">
        <v>256</v>
      </c>
      <c r="N71">
        <v>7</v>
      </c>
      <c r="O71">
        <v>142</v>
      </c>
      <c r="P71">
        <v>19</v>
      </c>
      <c r="Q71">
        <v>1</v>
      </c>
      <c r="R71">
        <v>1</v>
      </c>
      <c r="S71">
        <v>11</v>
      </c>
      <c r="T71">
        <v>5</v>
      </c>
      <c r="U71">
        <v>3</v>
      </c>
      <c r="V71">
        <v>2</v>
      </c>
      <c r="W71">
        <v>0</v>
      </c>
      <c r="X71">
        <v>25.3</v>
      </c>
      <c r="Y71">
        <v>69.69</v>
      </c>
      <c r="Z71" s="6">
        <v>1559</v>
      </c>
      <c r="AA71">
        <v>8</v>
      </c>
    </row>
    <row r="72" spans="1:27" x14ac:dyDescent="0.25">
      <c r="A72" t="s">
        <v>264</v>
      </c>
      <c r="B72" t="s">
        <v>79</v>
      </c>
      <c r="C72" t="s">
        <v>265</v>
      </c>
      <c r="D72" t="s">
        <v>7</v>
      </c>
      <c r="E72">
        <v>2</v>
      </c>
      <c r="F72" t="s">
        <v>81</v>
      </c>
      <c r="G72">
        <v>744.5</v>
      </c>
      <c r="H72">
        <v>53.18</v>
      </c>
      <c r="I72">
        <v>14</v>
      </c>
      <c r="J72">
        <v>10</v>
      </c>
      <c r="K72">
        <v>4</v>
      </c>
      <c r="L72">
        <v>555</v>
      </c>
      <c r="M72">
        <v>169</v>
      </c>
      <c r="N72">
        <v>2</v>
      </c>
      <c r="O72">
        <v>118</v>
      </c>
      <c r="P72">
        <v>19</v>
      </c>
      <c r="Q72">
        <v>1</v>
      </c>
      <c r="R72">
        <v>1</v>
      </c>
      <c r="S72">
        <v>2</v>
      </c>
      <c r="T72">
        <v>0</v>
      </c>
      <c r="U72">
        <v>0</v>
      </c>
      <c r="V72">
        <v>0</v>
      </c>
      <c r="W72">
        <v>0</v>
      </c>
      <c r="X72">
        <v>45.6</v>
      </c>
      <c r="Y72">
        <v>71.08</v>
      </c>
      <c r="Z72">
        <v>336</v>
      </c>
      <c r="AA72">
        <v>8</v>
      </c>
    </row>
    <row r="73" spans="1:27" x14ac:dyDescent="0.25">
      <c r="A73" t="s">
        <v>276</v>
      </c>
      <c r="B73" t="s">
        <v>79</v>
      </c>
      <c r="C73" t="s">
        <v>277</v>
      </c>
      <c r="D73" t="s">
        <v>7</v>
      </c>
      <c r="E73">
        <v>6</v>
      </c>
      <c r="F73" t="s">
        <v>81</v>
      </c>
      <c r="G73">
        <v>727</v>
      </c>
      <c r="H73">
        <v>55.92</v>
      </c>
      <c r="I73">
        <v>13</v>
      </c>
      <c r="J73">
        <v>10</v>
      </c>
      <c r="K73">
        <v>3</v>
      </c>
      <c r="L73">
        <v>519</v>
      </c>
      <c r="M73">
        <v>163</v>
      </c>
      <c r="N73">
        <v>2</v>
      </c>
      <c r="O73">
        <v>115</v>
      </c>
      <c r="P73">
        <v>10</v>
      </c>
      <c r="Q73">
        <v>1</v>
      </c>
      <c r="R73">
        <v>1</v>
      </c>
      <c r="S73">
        <v>4</v>
      </c>
      <c r="T73">
        <v>0</v>
      </c>
      <c r="U73">
        <v>0</v>
      </c>
      <c r="V73">
        <v>0</v>
      </c>
      <c r="W73">
        <v>0</v>
      </c>
      <c r="X73">
        <v>39.200000000000003</v>
      </c>
      <c r="Y73">
        <v>70.47</v>
      </c>
      <c r="Z73">
        <v>459</v>
      </c>
      <c r="AA73">
        <v>8</v>
      </c>
    </row>
    <row r="74" spans="1:27" x14ac:dyDescent="0.25">
      <c r="A74" t="s">
        <v>292</v>
      </c>
      <c r="B74" t="s">
        <v>79</v>
      </c>
      <c r="C74" t="s">
        <v>293</v>
      </c>
      <c r="D74" t="s">
        <v>7</v>
      </c>
      <c r="E74">
        <v>7</v>
      </c>
      <c r="F74" t="s">
        <v>103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8</v>
      </c>
    </row>
    <row r="75" spans="1:27" x14ac:dyDescent="0.25">
      <c r="A75" t="s">
        <v>266</v>
      </c>
      <c r="B75" t="s">
        <v>79</v>
      </c>
      <c r="C75" t="s">
        <v>267</v>
      </c>
      <c r="D75" t="s">
        <v>7</v>
      </c>
      <c r="E75">
        <v>1</v>
      </c>
      <c r="F75" t="s">
        <v>81</v>
      </c>
      <c r="G75">
        <v>963</v>
      </c>
      <c r="H75">
        <v>80.25</v>
      </c>
      <c r="I75">
        <v>12</v>
      </c>
      <c r="J75">
        <v>12</v>
      </c>
      <c r="K75">
        <v>0</v>
      </c>
      <c r="L75">
        <v>524</v>
      </c>
      <c r="M75">
        <v>200</v>
      </c>
      <c r="N75">
        <v>5</v>
      </c>
      <c r="O75">
        <v>100</v>
      </c>
      <c r="P75">
        <v>14</v>
      </c>
      <c r="Q75">
        <v>3</v>
      </c>
      <c r="R75">
        <v>3</v>
      </c>
      <c r="S75">
        <v>10</v>
      </c>
      <c r="T75">
        <v>3</v>
      </c>
      <c r="U75">
        <v>3</v>
      </c>
      <c r="V75">
        <v>3</v>
      </c>
      <c r="W75">
        <v>1</v>
      </c>
      <c r="X75">
        <v>19.899999999999999</v>
      </c>
      <c r="Y75">
        <v>69.849999999999994</v>
      </c>
      <c r="Z75" s="6">
        <v>1924</v>
      </c>
      <c r="AA75">
        <v>8</v>
      </c>
    </row>
    <row r="76" spans="1:27" x14ac:dyDescent="0.25">
      <c r="A76" t="s">
        <v>284</v>
      </c>
      <c r="B76" t="s">
        <v>79</v>
      </c>
      <c r="C76" t="s">
        <v>285</v>
      </c>
      <c r="D76" t="s">
        <v>7</v>
      </c>
      <c r="E76">
        <v>4</v>
      </c>
      <c r="F76" t="s">
        <v>92</v>
      </c>
      <c r="G76">
        <v>549</v>
      </c>
      <c r="H76">
        <v>49.91</v>
      </c>
      <c r="I76">
        <v>11</v>
      </c>
      <c r="J76">
        <v>7</v>
      </c>
      <c r="K76">
        <v>4</v>
      </c>
      <c r="L76">
        <v>453</v>
      </c>
      <c r="M76">
        <v>114</v>
      </c>
      <c r="N76">
        <v>2</v>
      </c>
      <c r="O76">
        <v>87</v>
      </c>
      <c r="P76">
        <v>9</v>
      </c>
      <c r="Q76">
        <v>1</v>
      </c>
      <c r="R76">
        <v>1</v>
      </c>
      <c r="S76">
        <v>1</v>
      </c>
      <c r="T76">
        <v>1</v>
      </c>
      <c r="U76">
        <v>1</v>
      </c>
      <c r="V76">
        <v>0</v>
      </c>
      <c r="W76">
        <v>0</v>
      </c>
      <c r="X76">
        <v>55.4</v>
      </c>
      <c r="Y76">
        <v>70.7</v>
      </c>
      <c r="Z76">
        <v>153</v>
      </c>
      <c r="AA76">
        <v>8</v>
      </c>
    </row>
    <row r="77" spans="1:27" x14ac:dyDescent="0.25">
      <c r="A77" t="s">
        <v>268</v>
      </c>
      <c r="B77" t="s">
        <v>79</v>
      </c>
      <c r="C77" t="s">
        <v>269</v>
      </c>
      <c r="D77" t="s">
        <v>7</v>
      </c>
      <c r="E77">
        <v>5</v>
      </c>
      <c r="F77" t="s">
        <v>81</v>
      </c>
      <c r="G77">
        <v>867.5</v>
      </c>
      <c r="H77">
        <v>61.96</v>
      </c>
      <c r="I77">
        <v>14</v>
      </c>
      <c r="J77">
        <v>12</v>
      </c>
      <c r="K77">
        <v>2</v>
      </c>
      <c r="L77">
        <v>589</v>
      </c>
      <c r="M77">
        <v>182</v>
      </c>
      <c r="N77">
        <v>7</v>
      </c>
      <c r="O77">
        <v>128</v>
      </c>
      <c r="P77">
        <v>11</v>
      </c>
      <c r="Q77">
        <v>1</v>
      </c>
      <c r="R77">
        <v>1</v>
      </c>
      <c r="S77">
        <v>6</v>
      </c>
      <c r="T77">
        <v>1</v>
      </c>
      <c r="U77">
        <v>0</v>
      </c>
      <c r="V77">
        <v>0</v>
      </c>
      <c r="W77">
        <v>0</v>
      </c>
      <c r="X77">
        <v>32.1</v>
      </c>
      <c r="Y77">
        <v>70.180000000000007</v>
      </c>
      <c r="Z77">
        <v>577</v>
      </c>
      <c r="AA77">
        <v>8</v>
      </c>
    </row>
    <row r="78" spans="1:27" x14ac:dyDescent="0.25">
      <c r="A78" t="s">
        <v>280</v>
      </c>
      <c r="B78" t="s">
        <v>79</v>
      </c>
      <c r="C78" t="s">
        <v>281</v>
      </c>
      <c r="D78" t="s">
        <v>7</v>
      </c>
      <c r="E78">
        <v>9</v>
      </c>
      <c r="F78" t="s">
        <v>103</v>
      </c>
      <c r="G78">
        <v>194</v>
      </c>
      <c r="H78">
        <v>48.5</v>
      </c>
      <c r="I78">
        <v>4</v>
      </c>
      <c r="J78">
        <v>1</v>
      </c>
      <c r="K78">
        <v>3</v>
      </c>
      <c r="L78">
        <v>130</v>
      </c>
      <c r="M78">
        <v>42</v>
      </c>
      <c r="N78">
        <v>2</v>
      </c>
      <c r="O78">
        <v>20</v>
      </c>
      <c r="P78">
        <v>4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62.3</v>
      </c>
      <c r="Y78">
        <v>69.27</v>
      </c>
      <c r="Z78">
        <v>11</v>
      </c>
      <c r="AA78">
        <v>8</v>
      </c>
    </row>
    <row r="79" spans="1:27" x14ac:dyDescent="0.25">
      <c r="A79" t="s">
        <v>326</v>
      </c>
      <c r="B79" t="s">
        <v>79</v>
      </c>
      <c r="C79" t="s">
        <v>327</v>
      </c>
      <c r="D79" t="s">
        <v>7</v>
      </c>
      <c r="E79">
        <v>16</v>
      </c>
      <c r="F79" t="s">
        <v>81</v>
      </c>
      <c r="G79">
        <v>28</v>
      </c>
      <c r="H79">
        <v>28</v>
      </c>
      <c r="I79">
        <v>1</v>
      </c>
      <c r="J79">
        <v>0</v>
      </c>
      <c r="K79">
        <v>1</v>
      </c>
      <c r="L79">
        <v>25</v>
      </c>
      <c r="M79">
        <v>6</v>
      </c>
      <c r="N79">
        <v>0</v>
      </c>
      <c r="O79">
        <v>5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73</v>
      </c>
      <c r="Y79">
        <v>71.5</v>
      </c>
      <c r="Z79">
        <v>0</v>
      </c>
      <c r="AA79">
        <v>0</v>
      </c>
    </row>
    <row r="80" spans="1:27" x14ac:dyDescent="0.25">
      <c r="A80" t="s">
        <v>246</v>
      </c>
      <c r="B80" t="s">
        <v>79</v>
      </c>
      <c r="C80" t="s">
        <v>247</v>
      </c>
      <c r="D80" t="s">
        <v>7</v>
      </c>
      <c r="E80">
        <v>16</v>
      </c>
      <c r="F80" t="s">
        <v>81</v>
      </c>
      <c r="G80">
        <v>605.5</v>
      </c>
      <c r="H80">
        <v>60.55</v>
      </c>
      <c r="I80">
        <v>10</v>
      </c>
      <c r="J80">
        <v>7</v>
      </c>
      <c r="K80">
        <v>3</v>
      </c>
      <c r="L80">
        <v>389</v>
      </c>
      <c r="M80">
        <v>124</v>
      </c>
      <c r="N80">
        <v>6</v>
      </c>
      <c r="O80">
        <v>80</v>
      </c>
      <c r="P80">
        <v>12</v>
      </c>
      <c r="Q80">
        <v>1</v>
      </c>
      <c r="R80">
        <v>1</v>
      </c>
      <c r="S80">
        <v>3</v>
      </c>
      <c r="T80">
        <v>2</v>
      </c>
      <c r="U80">
        <v>1</v>
      </c>
      <c r="V80">
        <v>1</v>
      </c>
      <c r="W80">
        <v>0</v>
      </c>
      <c r="X80">
        <v>37.1</v>
      </c>
      <c r="Y80">
        <v>70.06</v>
      </c>
      <c r="Z80">
        <v>574</v>
      </c>
      <c r="AA80">
        <v>8</v>
      </c>
    </row>
    <row r="81" spans="1:27" x14ac:dyDescent="0.25">
      <c r="A81" t="s">
        <v>368</v>
      </c>
      <c r="B81" t="s">
        <v>79</v>
      </c>
      <c r="C81" t="s">
        <v>369</v>
      </c>
      <c r="D81" t="s">
        <v>7</v>
      </c>
      <c r="E81">
        <v>16</v>
      </c>
      <c r="F81" t="s">
        <v>92</v>
      </c>
      <c r="G81">
        <v>121.5</v>
      </c>
      <c r="H81">
        <v>60.75</v>
      </c>
      <c r="I81">
        <v>2</v>
      </c>
      <c r="J81">
        <v>2</v>
      </c>
      <c r="K81">
        <v>0</v>
      </c>
      <c r="L81">
        <v>101</v>
      </c>
      <c r="M81">
        <v>22</v>
      </c>
      <c r="N81">
        <v>1</v>
      </c>
      <c r="O81">
        <v>20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55</v>
      </c>
      <c r="Y81">
        <v>70.5</v>
      </c>
      <c r="Z81">
        <v>19</v>
      </c>
      <c r="AA81">
        <v>8</v>
      </c>
    </row>
    <row r="82" spans="1:27" x14ac:dyDescent="0.25">
      <c r="A82" t="s">
        <v>278</v>
      </c>
      <c r="B82" t="s">
        <v>79</v>
      </c>
      <c r="C82" t="s">
        <v>279</v>
      </c>
      <c r="D82" t="s">
        <v>7</v>
      </c>
      <c r="E82">
        <v>12</v>
      </c>
      <c r="F82" t="s">
        <v>92</v>
      </c>
      <c r="G82">
        <v>204.5</v>
      </c>
      <c r="H82">
        <v>68.17</v>
      </c>
      <c r="I82">
        <v>3</v>
      </c>
      <c r="J82">
        <v>3</v>
      </c>
      <c r="K82">
        <v>0</v>
      </c>
      <c r="L82">
        <v>135</v>
      </c>
      <c r="M82">
        <v>48</v>
      </c>
      <c r="N82">
        <v>1</v>
      </c>
      <c r="O82">
        <v>28</v>
      </c>
      <c r="P82">
        <v>3</v>
      </c>
      <c r="Q82">
        <v>1</v>
      </c>
      <c r="R82">
        <v>1</v>
      </c>
      <c r="S82">
        <v>0</v>
      </c>
      <c r="T82">
        <v>0</v>
      </c>
      <c r="U82">
        <v>0</v>
      </c>
      <c r="V82">
        <v>0</v>
      </c>
      <c r="W82">
        <v>0</v>
      </c>
      <c r="X82">
        <v>48.3</v>
      </c>
      <c r="Y82">
        <v>69.92</v>
      </c>
      <c r="Z82">
        <v>31</v>
      </c>
      <c r="AA82">
        <v>8</v>
      </c>
    </row>
    <row r="83" spans="1:27" x14ac:dyDescent="0.25">
      <c r="A83" t="s">
        <v>270</v>
      </c>
      <c r="B83" t="s">
        <v>79</v>
      </c>
      <c r="C83" t="s">
        <v>271</v>
      </c>
      <c r="D83" t="s">
        <v>7</v>
      </c>
      <c r="E83">
        <v>8</v>
      </c>
      <c r="F83" t="s">
        <v>92</v>
      </c>
      <c r="G83">
        <v>415.5</v>
      </c>
      <c r="H83">
        <v>46.17</v>
      </c>
      <c r="I83">
        <v>9</v>
      </c>
      <c r="J83">
        <v>4</v>
      </c>
      <c r="K83">
        <v>5</v>
      </c>
      <c r="L83">
        <v>301</v>
      </c>
      <c r="M83">
        <v>92</v>
      </c>
      <c r="N83">
        <v>3</v>
      </c>
      <c r="O83">
        <v>62</v>
      </c>
      <c r="P83">
        <v>7</v>
      </c>
      <c r="Q83">
        <v>3</v>
      </c>
      <c r="R83">
        <v>3</v>
      </c>
      <c r="S83">
        <v>1</v>
      </c>
      <c r="T83">
        <v>0</v>
      </c>
      <c r="U83">
        <v>0</v>
      </c>
      <c r="V83">
        <v>0</v>
      </c>
      <c r="W83">
        <v>0</v>
      </c>
      <c r="X83">
        <v>59.2</v>
      </c>
      <c r="Y83">
        <v>70.650000000000006</v>
      </c>
      <c r="Z83">
        <v>63</v>
      </c>
      <c r="AA83">
        <v>8</v>
      </c>
    </row>
    <row r="84" spans="1:27" x14ac:dyDescent="0.25">
      <c r="A84" t="s">
        <v>288</v>
      </c>
      <c r="B84" t="s">
        <v>79</v>
      </c>
      <c r="C84" t="s">
        <v>289</v>
      </c>
      <c r="D84" t="s">
        <v>7</v>
      </c>
      <c r="E84">
        <v>11</v>
      </c>
      <c r="F84" t="s">
        <v>92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8</v>
      </c>
    </row>
    <row r="85" spans="1:27" x14ac:dyDescent="0.25">
      <c r="A85" t="s">
        <v>101</v>
      </c>
      <c r="B85" t="s">
        <v>79</v>
      </c>
      <c r="C85" t="s">
        <v>102</v>
      </c>
      <c r="D85" t="s">
        <v>7</v>
      </c>
      <c r="E85">
        <v>16</v>
      </c>
      <c r="F85" t="s">
        <v>81</v>
      </c>
      <c r="G85">
        <v>30.5</v>
      </c>
      <c r="H85">
        <v>30.5</v>
      </c>
      <c r="I85">
        <v>1</v>
      </c>
      <c r="J85">
        <v>0</v>
      </c>
      <c r="K85">
        <v>1</v>
      </c>
      <c r="L85">
        <v>21</v>
      </c>
      <c r="M85">
        <v>8</v>
      </c>
      <c r="N85">
        <v>0</v>
      </c>
      <c r="O85">
        <v>6</v>
      </c>
      <c r="P85">
        <v>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73</v>
      </c>
      <c r="Y85">
        <v>72</v>
      </c>
      <c r="Z85">
        <v>0</v>
      </c>
      <c r="AA85">
        <v>0</v>
      </c>
    </row>
    <row r="86" spans="1:27" x14ac:dyDescent="0.25">
      <c r="A86" t="s">
        <v>286</v>
      </c>
      <c r="B86" t="s">
        <v>79</v>
      </c>
      <c r="C86" t="s">
        <v>287</v>
      </c>
      <c r="D86" t="s">
        <v>7</v>
      </c>
      <c r="E86">
        <v>14</v>
      </c>
      <c r="F86" t="s">
        <v>92</v>
      </c>
      <c r="G86">
        <v>114.5</v>
      </c>
      <c r="H86">
        <v>57.25</v>
      </c>
      <c r="I86">
        <v>2</v>
      </c>
      <c r="J86">
        <v>1</v>
      </c>
      <c r="K86">
        <v>1</v>
      </c>
      <c r="L86">
        <v>68</v>
      </c>
      <c r="M86">
        <v>23</v>
      </c>
      <c r="N86">
        <v>2</v>
      </c>
      <c r="O86">
        <v>13</v>
      </c>
      <c r="P86">
        <v>2</v>
      </c>
      <c r="Q86">
        <v>0</v>
      </c>
      <c r="R86">
        <v>0</v>
      </c>
      <c r="S86">
        <v>1</v>
      </c>
      <c r="T86">
        <v>0</v>
      </c>
      <c r="U86">
        <v>0</v>
      </c>
      <c r="V86">
        <v>0</v>
      </c>
      <c r="W86">
        <v>0</v>
      </c>
      <c r="X86">
        <v>53</v>
      </c>
      <c r="Y86">
        <v>69</v>
      </c>
      <c r="Z86">
        <v>31</v>
      </c>
      <c r="AA86">
        <v>8</v>
      </c>
    </row>
    <row r="87" spans="1:27" x14ac:dyDescent="0.25">
      <c r="A87" t="s">
        <v>282</v>
      </c>
      <c r="B87" t="s">
        <v>79</v>
      </c>
      <c r="C87" t="s">
        <v>283</v>
      </c>
      <c r="D87" t="s">
        <v>7</v>
      </c>
      <c r="E87">
        <v>13</v>
      </c>
      <c r="F87" t="s">
        <v>92</v>
      </c>
      <c r="G87">
        <v>169.5</v>
      </c>
      <c r="H87">
        <v>42.38</v>
      </c>
      <c r="I87">
        <v>4</v>
      </c>
      <c r="J87">
        <v>1</v>
      </c>
      <c r="K87">
        <v>3</v>
      </c>
      <c r="L87">
        <v>119</v>
      </c>
      <c r="M87">
        <v>40</v>
      </c>
      <c r="N87">
        <v>0</v>
      </c>
      <c r="O87">
        <v>18</v>
      </c>
      <c r="P87">
        <v>3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65.3</v>
      </c>
      <c r="Y87">
        <v>69.8</v>
      </c>
      <c r="Z87">
        <v>20</v>
      </c>
      <c r="AA87">
        <v>8</v>
      </c>
    </row>
    <row r="88" spans="1:27" x14ac:dyDescent="0.25">
      <c r="A88" t="s">
        <v>242</v>
      </c>
      <c r="B88" t="s">
        <v>79</v>
      </c>
      <c r="C88" t="s">
        <v>243</v>
      </c>
      <c r="D88" t="s">
        <v>7</v>
      </c>
      <c r="E88">
        <v>10</v>
      </c>
      <c r="F88" t="s">
        <v>103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8</v>
      </c>
    </row>
    <row r="89" spans="1:27" x14ac:dyDescent="0.25">
      <c r="A89" t="s">
        <v>272</v>
      </c>
      <c r="B89" t="s">
        <v>79</v>
      </c>
      <c r="C89" t="s">
        <v>273</v>
      </c>
      <c r="D89" t="s">
        <v>7</v>
      </c>
      <c r="E89">
        <v>16</v>
      </c>
      <c r="F89" t="s">
        <v>92</v>
      </c>
      <c r="G89">
        <v>447.5</v>
      </c>
      <c r="H89">
        <v>49.72</v>
      </c>
      <c r="I89">
        <v>9</v>
      </c>
      <c r="J89">
        <v>6</v>
      </c>
      <c r="K89">
        <v>3</v>
      </c>
      <c r="L89">
        <v>362</v>
      </c>
      <c r="M89">
        <v>90</v>
      </c>
      <c r="N89">
        <v>4</v>
      </c>
      <c r="O89">
        <v>79</v>
      </c>
      <c r="P89">
        <v>5</v>
      </c>
      <c r="Q89">
        <v>0</v>
      </c>
      <c r="R89">
        <v>0</v>
      </c>
      <c r="S89">
        <v>2</v>
      </c>
      <c r="T89">
        <v>0</v>
      </c>
      <c r="U89">
        <v>0</v>
      </c>
      <c r="V89">
        <v>0</v>
      </c>
      <c r="W89">
        <v>0</v>
      </c>
      <c r="X89">
        <v>55.7</v>
      </c>
      <c r="Y89">
        <v>70.7</v>
      </c>
      <c r="Z89">
        <v>82</v>
      </c>
      <c r="AA89">
        <v>8</v>
      </c>
    </row>
    <row r="90" spans="1:27" x14ac:dyDescent="0.25">
      <c r="A90" t="s">
        <v>274</v>
      </c>
      <c r="B90" t="s">
        <v>79</v>
      </c>
      <c r="C90" t="s">
        <v>275</v>
      </c>
      <c r="D90" t="s">
        <v>7</v>
      </c>
      <c r="E90">
        <v>16</v>
      </c>
      <c r="F90" t="s">
        <v>81</v>
      </c>
      <c r="G90">
        <v>737</v>
      </c>
      <c r="H90">
        <v>52.64</v>
      </c>
      <c r="I90">
        <v>14</v>
      </c>
      <c r="J90">
        <v>9</v>
      </c>
      <c r="K90">
        <v>5</v>
      </c>
      <c r="L90">
        <v>462</v>
      </c>
      <c r="M90">
        <v>176</v>
      </c>
      <c r="N90">
        <v>6</v>
      </c>
      <c r="O90">
        <v>140</v>
      </c>
      <c r="P90">
        <v>22</v>
      </c>
      <c r="Q90">
        <v>4</v>
      </c>
      <c r="R90">
        <v>4</v>
      </c>
      <c r="S90">
        <v>3</v>
      </c>
      <c r="T90">
        <v>1</v>
      </c>
      <c r="U90">
        <v>0</v>
      </c>
      <c r="V90">
        <v>0</v>
      </c>
      <c r="W90">
        <v>0</v>
      </c>
      <c r="X90">
        <v>52</v>
      </c>
      <c r="Y90">
        <v>71.47</v>
      </c>
      <c r="Z90">
        <v>336</v>
      </c>
      <c r="AA90">
        <v>8</v>
      </c>
    </row>
    <row r="91" spans="1:27" x14ac:dyDescent="0.25">
      <c r="A91" t="s">
        <v>290</v>
      </c>
      <c r="B91" t="s">
        <v>79</v>
      </c>
      <c r="C91" t="s">
        <v>291</v>
      </c>
      <c r="D91" t="s">
        <v>7</v>
      </c>
      <c r="E91">
        <v>15</v>
      </c>
      <c r="F91" t="s">
        <v>92</v>
      </c>
      <c r="G91">
        <v>12</v>
      </c>
      <c r="H91">
        <v>12</v>
      </c>
      <c r="I91">
        <v>1</v>
      </c>
      <c r="J91">
        <v>0</v>
      </c>
      <c r="K91">
        <v>1</v>
      </c>
      <c r="L91">
        <v>20</v>
      </c>
      <c r="M91">
        <v>3</v>
      </c>
      <c r="N91">
        <v>0</v>
      </c>
      <c r="O91">
        <v>12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72</v>
      </c>
      <c r="Y91">
        <v>75.5</v>
      </c>
      <c r="Z91">
        <v>0</v>
      </c>
      <c r="AA91">
        <v>8</v>
      </c>
    </row>
    <row r="92" spans="1:27" x14ac:dyDescent="0.25">
      <c r="A92" t="s">
        <v>244</v>
      </c>
      <c r="B92" t="s">
        <v>79</v>
      </c>
      <c r="C92" t="s">
        <v>245</v>
      </c>
      <c r="D92" t="s">
        <v>0</v>
      </c>
      <c r="E92">
        <v>16</v>
      </c>
      <c r="F92" t="s">
        <v>103</v>
      </c>
      <c r="G92">
        <v>76.5</v>
      </c>
      <c r="H92">
        <v>76.5</v>
      </c>
      <c r="I92">
        <v>1</v>
      </c>
      <c r="J92">
        <v>1</v>
      </c>
      <c r="K92">
        <v>0</v>
      </c>
      <c r="L92">
        <v>46</v>
      </c>
      <c r="M92">
        <v>18</v>
      </c>
      <c r="N92">
        <v>0</v>
      </c>
      <c r="O92">
        <v>7</v>
      </c>
      <c r="P92">
        <v>1</v>
      </c>
      <c r="Q92">
        <v>0</v>
      </c>
      <c r="R92">
        <v>0</v>
      </c>
      <c r="S92">
        <v>1</v>
      </c>
      <c r="T92">
        <v>0</v>
      </c>
      <c r="U92">
        <v>0</v>
      </c>
      <c r="V92">
        <v>0</v>
      </c>
      <c r="W92">
        <v>0</v>
      </c>
      <c r="X92">
        <v>24</v>
      </c>
      <c r="Y92">
        <v>68.75</v>
      </c>
      <c r="Z92">
        <v>31</v>
      </c>
      <c r="AA92">
        <v>1</v>
      </c>
    </row>
    <row r="93" spans="1:27" x14ac:dyDescent="0.25">
      <c r="A93" t="s">
        <v>110</v>
      </c>
      <c r="B93" t="s">
        <v>79</v>
      </c>
      <c r="C93" t="s">
        <v>111</v>
      </c>
      <c r="D93" t="s">
        <v>0</v>
      </c>
      <c r="E93">
        <v>16</v>
      </c>
      <c r="F93" t="s">
        <v>92</v>
      </c>
      <c r="G93">
        <v>490</v>
      </c>
      <c r="H93">
        <v>61.25</v>
      </c>
      <c r="I93">
        <v>8</v>
      </c>
      <c r="J93">
        <v>7</v>
      </c>
      <c r="K93">
        <v>1</v>
      </c>
      <c r="L93">
        <v>357</v>
      </c>
      <c r="M93">
        <v>104</v>
      </c>
      <c r="N93">
        <v>1</v>
      </c>
      <c r="O93">
        <v>69</v>
      </c>
      <c r="P93">
        <v>8</v>
      </c>
      <c r="Q93">
        <v>1</v>
      </c>
      <c r="R93">
        <v>1</v>
      </c>
      <c r="S93">
        <v>5</v>
      </c>
      <c r="T93">
        <v>2</v>
      </c>
      <c r="U93">
        <v>0</v>
      </c>
      <c r="V93">
        <v>0</v>
      </c>
      <c r="W93">
        <v>0</v>
      </c>
      <c r="X93">
        <v>30.8</v>
      </c>
      <c r="Y93">
        <v>70.069999999999993</v>
      </c>
      <c r="Z93">
        <v>380</v>
      </c>
      <c r="AA93">
        <v>1</v>
      </c>
    </row>
    <row r="94" spans="1:27" x14ac:dyDescent="0.25">
      <c r="A94" t="s">
        <v>240</v>
      </c>
      <c r="B94" t="s">
        <v>79</v>
      </c>
      <c r="C94" t="s">
        <v>241</v>
      </c>
      <c r="D94" t="s">
        <v>0</v>
      </c>
      <c r="E94">
        <v>8</v>
      </c>
      <c r="F94" t="s">
        <v>81</v>
      </c>
      <c r="G94">
        <v>422</v>
      </c>
      <c r="H94">
        <v>52.75</v>
      </c>
      <c r="I94">
        <v>8</v>
      </c>
      <c r="J94">
        <v>5</v>
      </c>
      <c r="K94">
        <v>3</v>
      </c>
      <c r="L94">
        <v>272</v>
      </c>
      <c r="M94">
        <v>99</v>
      </c>
      <c r="N94">
        <v>3</v>
      </c>
      <c r="O94">
        <v>90</v>
      </c>
      <c r="P94">
        <v>4</v>
      </c>
      <c r="Q94">
        <v>0</v>
      </c>
      <c r="R94">
        <v>0</v>
      </c>
      <c r="S94">
        <v>1</v>
      </c>
      <c r="T94">
        <v>1</v>
      </c>
      <c r="U94">
        <v>0</v>
      </c>
      <c r="V94">
        <v>0</v>
      </c>
      <c r="W94">
        <v>0</v>
      </c>
      <c r="X94">
        <v>51.1</v>
      </c>
      <c r="Y94">
        <v>70.959999999999994</v>
      </c>
      <c r="Z94">
        <v>172</v>
      </c>
      <c r="AA94">
        <v>1</v>
      </c>
    </row>
    <row r="95" spans="1:27" x14ac:dyDescent="0.25">
      <c r="A95" t="s">
        <v>260</v>
      </c>
      <c r="B95" t="s">
        <v>79</v>
      </c>
      <c r="C95" t="s">
        <v>261</v>
      </c>
      <c r="D95" t="s">
        <v>0</v>
      </c>
      <c r="E95">
        <v>14</v>
      </c>
      <c r="F95" t="s">
        <v>103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</row>
    <row r="96" spans="1:27" x14ac:dyDescent="0.25">
      <c r="A96" t="s">
        <v>222</v>
      </c>
      <c r="B96" t="s">
        <v>79</v>
      </c>
      <c r="C96" t="s">
        <v>223</v>
      </c>
      <c r="D96" t="s">
        <v>0</v>
      </c>
      <c r="E96">
        <v>6</v>
      </c>
      <c r="F96" t="s">
        <v>92</v>
      </c>
      <c r="G96">
        <v>761</v>
      </c>
      <c r="H96">
        <v>69.180000000000007</v>
      </c>
      <c r="I96">
        <v>11</v>
      </c>
      <c r="J96">
        <v>11</v>
      </c>
      <c r="K96">
        <v>0</v>
      </c>
      <c r="L96">
        <v>483</v>
      </c>
      <c r="M96">
        <v>167</v>
      </c>
      <c r="N96">
        <v>6</v>
      </c>
      <c r="O96">
        <v>103</v>
      </c>
      <c r="P96">
        <v>14</v>
      </c>
      <c r="Q96">
        <v>1</v>
      </c>
      <c r="R96">
        <v>1</v>
      </c>
      <c r="S96">
        <v>5</v>
      </c>
      <c r="T96">
        <v>2</v>
      </c>
      <c r="U96">
        <v>0</v>
      </c>
      <c r="V96">
        <v>0</v>
      </c>
      <c r="W96">
        <v>0</v>
      </c>
      <c r="X96">
        <v>35</v>
      </c>
      <c r="Y96">
        <v>70.12</v>
      </c>
      <c r="Z96">
        <v>541</v>
      </c>
      <c r="AA96">
        <v>1</v>
      </c>
    </row>
    <row r="97" spans="1:27" x14ac:dyDescent="0.25">
      <c r="A97" t="s">
        <v>250</v>
      </c>
      <c r="B97" t="s">
        <v>79</v>
      </c>
      <c r="C97" t="s">
        <v>251</v>
      </c>
      <c r="D97" t="s">
        <v>0</v>
      </c>
      <c r="E97">
        <v>13</v>
      </c>
      <c r="F97" t="s">
        <v>92</v>
      </c>
      <c r="G97">
        <v>180.5</v>
      </c>
      <c r="H97">
        <v>60.17</v>
      </c>
      <c r="I97">
        <v>3</v>
      </c>
      <c r="J97">
        <v>3</v>
      </c>
      <c r="K97">
        <v>0</v>
      </c>
      <c r="L97">
        <v>133</v>
      </c>
      <c r="M97">
        <v>41</v>
      </c>
      <c r="N97">
        <v>1</v>
      </c>
      <c r="O97">
        <v>34</v>
      </c>
      <c r="P97">
        <v>6</v>
      </c>
      <c r="Q97">
        <v>1</v>
      </c>
      <c r="R97">
        <v>1</v>
      </c>
      <c r="S97">
        <v>0</v>
      </c>
      <c r="T97">
        <v>0</v>
      </c>
      <c r="U97">
        <v>0</v>
      </c>
      <c r="V97">
        <v>0</v>
      </c>
      <c r="W97">
        <v>0</v>
      </c>
      <c r="X97">
        <v>32.299999999999997</v>
      </c>
      <c r="Y97">
        <v>71.5</v>
      </c>
      <c r="Z97">
        <v>0</v>
      </c>
      <c r="AA97">
        <v>1</v>
      </c>
    </row>
    <row r="98" spans="1:27" x14ac:dyDescent="0.25">
      <c r="A98" t="s">
        <v>246</v>
      </c>
      <c r="B98" t="s">
        <v>79</v>
      </c>
      <c r="C98" t="s">
        <v>247</v>
      </c>
      <c r="D98" t="s">
        <v>0</v>
      </c>
      <c r="E98">
        <v>9</v>
      </c>
      <c r="F98" t="s">
        <v>103</v>
      </c>
      <c r="G98">
        <v>62.5</v>
      </c>
      <c r="H98">
        <v>31.25</v>
      </c>
      <c r="I98">
        <v>2</v>
      </c>
      <c r="J98">
        <v>1</v>
      </c>
      <c r="K98">
        <v>1</v>
      </c>
      <c r="L98">
        <v>61</v>
      </c>
      <c r="M98">
        <v>14</v>
      </c>
      <c r="N98">
        <v>0</v>
      </c>
      <c r="O98">
        <v>10</v>
      </c>
      <c r="P98">
        <v>3</v>
      </c>
      <c r="Q98">
        <v>2</v>
      </c>
      <c r="R98">
        <v>2</v>
      </c>
      <c r="S98">
        <v>0</v>
      </c>
      <c r="T98">
        <v>0</v>
      </c>
      <c r="U98">
        <v>0</v>
      </c>
      <c r="V98">
        <v>0</v>
      </c>
      <c r="W98">
        <v>0</v>
      </c>
      <c r="X98">
        <v>68.5</v>
      </c>
      <c r="Y98">
        <v>73.2</v>
      </c>
      <c r="Z98">
        <v>6</v>
      </c>
      <c r="AA98">
        <v>1</v>
      </c>
    </row>
    <row r="99" spans="1:27" x14ac:dyDescent="0.25">
      <c r="A99" t="s">
        <v>256</v>
      </c>
      <c r="B99" t="s">
        <v>79</v>
      </c>
      <c r="C99" t="s">
        <v>257</v>
      </c>
      <c r="D99" t="s">
        <v>0</v>
      </c>
      <c r="E99">
        <v>16</v>
      </c>
      <c r="F99" t="s">
        <v>103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</row>
    <row r="100" spans="1:27" x14ac:dyDescent="0.25">
      <c r="A100" t="s">
        <v>224</v>
      </c>
      <c r="B100" t="s">
        <v>79</v>
      </c>
      <c r="C100" t="s">
        <v>225</v>
      </c>
      <c r="D100" t="s">
        <v>0</v>
      </c>
      <c r="E100">
        <v>1</v>
      </c>
      <c r="F100" t="s">
        <v>81</v>
      </c>
      <c r="G100">
        <v>1533.5</v>
      </c>
      <c r="H100">
        <v>109.54</v>
      </c>
      <c r="I100">
        <v>14</v>
      </c>
      <c r="J100">
        <v>14</v>
      </c>
      <c r="K100">
        <v>0</v>
      </c>
      <c r="L100">
        <v>620</v>
      </c>
      <c r="M100">
        <v>267</v>
      </c>
      <c r="N100">
        <v>9</v>
      </c>
      <c r="O100">
        <v>85</v>
      </c>
      <c r="P100">
        <v>7</v>
      </c>
      <c r="Q100">
        <v>2</v>
      </c>
      <c r="R100">
        <v>2</v>
      </c>
      <c r="S100">
        <v>13</v>
      </c>
      <c r="T100">
        <v>12</v>
      </c>
      <c r="U100">
        <v>9</v>
      </c>
      <c r="V100">
        <v>9</v>
      </c>
      <c r="W100">
        <v>6</v>
      </c>
      <c r="X100">
        <v>6.8</v>
      </c>
      <c r="Y100">
        <v>67.849999999999994</v>
      </c>
      <c r="Z100" s="6">
        <v>5519</v>
      </c>
      <c r="AA100">
        <v>1</v>
      </c>
    </row>
    <row r="101" spans="1:27" x14ac:dyDescent="0.25">
      <c r="A101" t="s">
        <v>254</v>
      </c>
      <c r="B101" t="s">
        <v>79</v>
      </c>
      <c r="C101" t="s">
        <v>255</v>
      </c>
      <c r="D101" t="s">
        <v>0</v>
      </c>
      <c r="E101">
        <v>16</v>
      </c>
      <c r="F101" t="s">
        <v>92</v>
      </c>
      <c r="G101">
        <v>226</v>
      </c>
      <c r="H101">
        <v>56.5</v>
      </c>
      <c r="I101">
        <v>4</v>
      </c>
      <c r="J101">
        <v>3</v>
      </c>
      <c r="K101">
        <v>1</v>
      </c>
      <c r="L101">
        <v>163</v>
      </c>
      <c r="M101">
        <v>50</v>
      </c>
      <c r="N101">
        <v>1</v>
      </c>
      <c r="O101">
        <v>35</v>
      </c>
      <c r="P101">
        <v>3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>
        <v>0</v>
      </c>
      <c r="X101">
        <v>49.8</v>
      </c>
      <c r="Y101">
        <v>70.5</v>
      </c>
      <c r="Z101">
        <v>69</v>
      </c>
      <c r="AA101">
        <v>1</v>
      </c>
    </row>
    <row r="102" spans="1:27" x14ac:dyDescent="0.25">
      <c r="A102" t="s">
        <v>232</v>
      </c>
      <c r="B102" t="s">
        <v>79</v>
      </c>
      <c r="C102" t="s">
        <v>233</v>
      </c>
      <c r="D102" t="s">
        <v>0</v>
      </c>
      <c r="E102">
        <v>2</v>
      </c>
      <c r="F102" t="s">
        <v>81</v>
      </c>
      <c r="G102">
        <v>742.5</v>
      </c>
      <c r="H102">
        <v>57.12</v>
      </c>
      <c r="I102">
        <v>13</v>
      </c>
      <c r="J102">
        <v>10</v>
      </c>
      <c r="K102">
        <v>3</v>
      </c>
      <c r="L102">
        <v>532</v>
      </c>
      <c r="M102">
        <v>152</v>
      </c>
      <c r="N102">
        <v>4</v>
      </c>
      <c r="O102">
        <v>129</v>
      </c>
      <c r="P102">
        <v>9</v>
      </c>
      <c r="Q102">
        <v>2</v>
      </c>
      <c r="R102">
        <v>2</v>
      </c>
      <c r="S102">
        <v>4</v>
      </c>
      <c r="T102">
        <v>3</v>
      </c>
      <c r="U102">
        <v>2</v>
      </c>
      <c r="V102">
        <v>1</v>
      </c>
      <c r="W102">
        <v>0</v>
      </c>
      <c r="X102">
        <v>43.1</v>
      </c>
      <c r="Y102">
        <v>70.98</v>
      </c>
      <c r="Z102">
        <v>999</v>
      </c>
      <c r="AA102">
        <v>1</v>
      </c>
    </row>
    <row r="103" spans="1:27" x14ac:dyDescent="0.25">
      <c r="A103" t="s">
        <v>226</v>
      </c>
      <c r="B103" t="s">
        <v>79</v>
      </c>
      <c r="C103" t="s">
        <v>227</v>
      </c>
      <c r="D103" t="s">
        <v>0</v>
      </c>
      <c r="E103">
        <v>15</v>
      </c>
      <c r="F103" t="s">
        <v>81</v>
      </c>
      <c r="G103">
        <v>1040</v>
      </c>
      <c r="H103">
        <v>65</v>
      </c>
      <c r="I103">
        <v>16</v>
      </c>
      <c r="J103">
        <v>13</v>
      </c>
      <c r="K103">
        <v>3</v>
      </c>
      <c r="L103">
        <v>654</v>
      </c>
      <c r="M103">
        <v>224</v>
      </c>
      <c r="N103">
        <v>4</v>
      </c>
      <c r="O103">
        <v>136</v>
      </c>
      <c r="P103">
        <v>8</v>
      </c>
      <c r="Q103">
        <v>0</v>
      </c>
      <c r="R103">
        <v>0</v>
      </c>
      <c r="S103">
        <v>9</v>
      </c>
      <c r="T103">
        <v>3</v>
      </c>
      <c r="U103">
        <v>2</v>
      </c>
      <c r="V103">
        <v>1</v>
      </c>
      <c r="W103">
        <v>0</v>
      </c>
      <c r="X103">
        <v>31.1</v>
      </c>
      <c r="Y103">
        <v>69.75</v>
      </c>
      <c r="Z103" s="6">
        <v>1236</v>
      </c>
      <c r="AA103">
        <v>1</v>
      </c>
    </row>
    <row r="104" spans="1:27" x14ac:dyDescent="0.25">
      <c r="A104" t="s">
        <v>228</v>
      </c>
      <c r="B104" t="s">
        <v>79</v>
      </c>
      <c r="C104" t="s">
        <v>229</v>
      </c>
      <c r="D104" t="s">
        <v>0</v>
      </c>
      <c r="E104">
        <v>10</v>
      </c>
      <c r="F104" t="s">
        <v>81</v>
      </c>
      <c r="G104">
        <v>925.5</v>
      </c>
      <c r="H104">
        <v>66.11</v>
      </c>
      <c r="I104">
        <v>14</v>
      </c>
      <c r="J104">
        <v>10</v>
      </c>
      <c r="K104">
        <v>4</v>
      </c>
      <c r="L104">
        <v>533</v>
      </c>
      <c r="M104">
        <v>206</v>
      </c>
      <c r="N104">
        <v>7</v>
      </c>
      <c r="O104">
        <v>104</v>
      </c>
      <c r="P104">
        <v>14</v>
      </c>
      <c r="Q104">
        <v>0</v>
      </c>
      <c r="R104">
        <v>0</v>
      </c>
      <c r="S104">
        <v>8</v>
      </c>
      <c r="T104">
        <v>3</v>
      </c>
      <c r="U104">
        <v>0</v>
      </c>
      <c r="V104">
        <v>0</v>
      </c>
      <c r="W104">
        <v>0</v>
      </c>
      <c r="X104">
        <v>38.4</v>
      </c>
      <c r="Y104">
        <v>69.290000000000006</v>
      </c>
      <c r="Z104">
        <v>455</v>
      </c>
      <c r="AA104">
        <v>1</v>
      </c>
    </row>
    <row r="105" spans="1:27" x14ac:dyDescent="0.25">
      <c r="A105" t="s">
        <v>236</v>
      </c>
      <c r="B105" t="s">
        <v>79</v>
      </c>
      <c r="C105" t="s">
        <v>237</v>
      </c>
      <c r="D105" t="s">
        <v>0</v>
      </c>
      <c r="E105">
        <v>5</v>
      </c>
      <c r="F105" t="s">
        <v>92</v>
      </c>
      <c r="G105">
        <v>387.5</v>
      </c>
      <c r="H105">
        <v>55.36</v>
      </c>
      <c r="I105">
        <v>7</v>
      </c>
      <c r="J105">
        <v>5</v>
      </c>
      <c r="K105">
        <v>2</v>
      </c>
      <c r="L105">
        <v>271</v>
      </c>
      <c r="M105">
        <v>81</v>
      </c>
      <c r="N105">
        <v>4</v>
      </c>
      <c r="O105">
        <v>68</v>
      </c>
      <c r="P105">
        <v>8</v>
      </c>
      <c r="Q105">
        <v>0</v>
      </c>
      <c r="R105">
        <v>0</v>
      </c>
      <c r="S105">
        <v>2</v>
      </c>
      <c r="T105">
        <v>1</v>
      </c>
      <c r="U105">
        <v>0</v>
      </c>
      <c r="V105">
        <v>0</v>
      </c>
      <c r="W105">
        <v>0</v>
      </c>
      <c r="X105">
        <v>36</v>
      </c>
      <c r="Y105">
        <v>70.63</v>
      </c>
      <c r="Z105">
        <v>173</v>
      </c>
      <c r="AA105">
        <v>1</v>
      </c>
    </row>
    <row r="106" spans="1:27" x14ac:dyDescent="0.25">
      <c r="A106" t="s">
        <v>238</v>
      </c>
      <c r="B106" t="s">
        <v>79</v>
      </c>
      <c r="C106" t="s">
        <v>239</v>
      </c>
      <c r="D106" t="s">
        <v>0</v>
      </c>
      <c r="E106">
        <v>4</v>
      </c>
      <c r="F106" t="s">
        <v>92</v>
      </c>
      <c r="G106">
        <v>465</v>
      </c>
      <c r="H106">
        <v>77.5</v>
      </c>
      <c r="I106">
        <v>6</v>
      </c>
      <c r="J106">
        <v>5</v>
      </c>
      <c r="K106">
        <v>1</v>
      </c>
      <c r="L106">
        <v>250</v>
      </c>
      <c r="M106">
        <v>95</v>
      </c>
      <c r="N106">
        <v>3</v>
      </c>
      <c r="O106">
        <v>40</v>
      </c>
      <c r="P106">
        <v>8</v>
      </c>
      <c r="Q106">
        <v>0</v>
      </c>
      <c r="R106">
        <v>0</v>
      </c>
      <c r="S106">
        <v>2</v>
      </c>
      <c r="T106">
        <v>1</v>
      </c>
      <c r="U106">
        <v>1</v>
      </c>
      <c r="V106">
        <v>1</v>
      </c>
      <c r="W106">
        <v>1</v>
      </c>
      <c r="X106">
        <v>37.299999999999997</v>
      </c>
      <c r="Y106">
        <v>69.05</v>
      </c>
      <c r="Z106">
        <v>626</v>
      </c>
      <c r="AA106">
        <v>1</v>
      </c>
    </row>
    <row r="107" spans="1:27" x14ac:dyDescent="0.25">
      <c r="A107" t="s">
        <v>230</v>
      </c>
      <c r="B107" t="s">
        <v>79</v>
      </c>
      <c r="C107" t="s">
        <v>231</v>
      </c>
      <c r="D107" t="s">
        <v>0</v>
      </c>
      <c r="E107">
        <v>3</v>
      </c>
      <c r="F107" t="s">
        <v>81</v>
      </c>
      <c r="G107">
        <v>995</v>
      </c>
      <c r="H107">
        <v>66.33</v>
      </c>
      <c r="I107">
        <v>15</v>
      </c>
      <c r="J107">
        <v>13</v>
      </c>
      <c r="K107">
        <v>2</v>
      </c>
      <c r="L107">
        <v>633</v>
      </c>
      <c r="M107">
        <v>210</v>
      </c>
      <c r="N107">
        <v>7</v>
      </c>
      <c r="O107">
        <v>141</v>
      </c>
      <c r="P107">
        <v>15</v>
      </c>
      <c r="Q107">
        <v>2</v>
      </c>
      <c r="R107">
        <v>2</v>
      </c>
      <c r="S107">
        <v>6</v>
      </c>
      <c r="T107">
        <v>4</v>
      </c>
      <c r="U107">
        <v>2</v>
      </c>
      <c r="V107">
        <v>1</v>
      </c>
      <c r="W107">
        <v>0</v>
      </c>
      <c r="X107">
        <v>33.6</v>
      </c>
      <c r="Y107">
        <v>70.23</v>
      </c>
      <c r="Z107" s="6">
        <v>1362</v>
      </c>
      <c r="AA107">
        <v>1</v>
      </c>
    </row>
    <row r="108" spans="1:27" x14ac:dyDescent="0.25">
      <c r="A108" t="s">
        <v>370</v>
      </c>
      <c r="B108" t="s">
        <v>79</v>
      </c>
      <c r="C108" t="s">
        <v>371</v>
      </c>
      <c r="D108" t="s">
        <v>0</v>
      </c>
      <c r="E108">
        <v>16</v>
      </c>
      <c r="F108" t="s">
        <v>81</v>
      </c>
      <c r="G108">
        <v>154</v>
      </c>
      <c r="H108">
        <v>38.5</v>
      </c>
      <c r="I108">
        <v>4</v>
      </c>
      <c r="J108">
        <v>1</v>
      </c>
      <c r="K108">
        <v>3</v>
      </c>
      <c r="L108">
        <v>102</v>
      </c>
      <c r="M108">
        <v>38</v>
      </c>
      <c r="N108">
        <v>1</v>
      </c>
      <c r="O108">
        <v>36</v>
      </c>
      <c r="P108">
        <v>2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62.5</v>
      </c>
      <c r="Y108">
        <v>71.7</v>
      </c>
      <c r="Z108">
        <v>19</v>
      </c>
      <c r="AA108">
        <v>1</v>
      </c>
    </row>
    <row r="109" spans="1:27" x14ac:dyDescent="0.25">
      <c r="A109" t="s">
        <v>258</v>
      </c>
      <c r="B109" t="s">
        <v>79</v>
      </c>
      <c r="C109" t="s">
        <v>259</v>
      </c>
      <c r="D109" t="s">
        <v>0</v>
      </c>
      <c r="E109">
        <v>11</v>
      </c>
      <c r="F109" t="s">
        <v>103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</row>
    <row r="110" spans="1:27" x14ac:dyDescent="0.25">
      <c r="A110" t="s">
        <v>252</v>
      </c>
      <c r="B110" t="s">
        <v>79</v>
      </c>
      <c r="C110" t="s">
        <v>253</v>
      </c>
      <c r="D110" t="s">
        <v>0</v>
      </c>
      <c r="E110">
        <v>7</v>
      </c>
      <c r="F110" t="s">
        <v>92</v>
      </c>
      <c r="G110">
        <v>10</v>
      </c>
      <c r="H110">
        <v>10</v>
      </c>
      <c r="I110">
        <v>1</v>
      </c>
      <c r="J110">
        <v>0</v>
      </c>
      <c r="K110">
        <v>1</v>
      </c>
      <c r="L110">
        <v>14</v>
      </c>
      <c r="M110">
        <v>4</v>
      </c>
      <c r="N110">
        <v>0</v>
      </c>
      <c r="O110">
        <v>18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60</v>
      </c>
      <c r="Y110">
        <v>79</v>
      </c>
      <c r="Z110">
        <v>0</v>
      </c>
      <c r="AA110">
        <v>1</v>
      </c>
    </row>
    <row r="111" spans="1:27" x14ac:dyDescent="0.25">
      <c r="A111" t="s">
        <v>248</v>
      </c>
      <c r="B111" t="s">
        <v>79</v>
      </c>
      <c r="C111" t="s">
        <v>249</v>
      </c>
      <c r="D111" t="s">
        <v>0</v>
      </c>
      <c r="E111">
        <v>16</v>
      </c>
      <c r="F111" t="s">
        <v>103</v>
      </c>
      <c r="G111">
        <v>33.5</v>
      </c>
      <c r="H111">
        <v>33.5</v>
      </c>
      <c r="I111">
        <v>1</v>
      </c>
      <c r="J111">
        <v>0</v>
      </c>
      <c r="K111">
        <v>1</v>
      </c>
      <c r="L111">
        <v>22</v>
      </c>
      <c r="M111">
        <v>6</v>
      </c>
      <c r="N111">
        <v>1</v>
      </c>
      <c r="O111">
        <v>7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69</v>
      </c>
      <c r="Y111">
        <v>70.5</v>
      </c>
      <c r="Z111">
        <v>0</v>
      </c>
      <c r="AA111">
        <v>1</v>
      </c>
    </row>
    <row r="112" spans="1:27" x14ac:dyDescent="0.25">
      <c r="A112" t="s">
        <v>383</v>
      </c>
      <c r="B112" t="s">
        <v>79</v>
      </c>
      <c r="C112" t="s">
        <v>384</v>
      </c>
      <c r="D112" t="s">
        <v>0</v>
      </c>
      <c r="E112">
        <v>16</v>
      </c>
      <c r="F112" t="s">
        <v>81</v>
      </c>
      <c r="G112">
        <v>42.5</v>
      </c>
      <c r="H112">
        <v>42.5</v>
      </c>
      <c r="I112">
        <v>1</v>
      </c>
      <c r="J112">
        <v>0</v>
      </c>
      <c r="K112">
        <v>1</v>
      </c>
      <c r="L112">
        <v>21</v>
      </c>
      <c r="M112">
        <v>9</v>
      </c>
      <c r="N112">
        <v>1</v>
      </c>
      <c r="O112">
        <v>4</v>
      </c>
      <c r="P112">
        <v>1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66</v>
      </c>
      <c r="Y112">
        <v>68.5</v>
      </c>
      <c r="Z112">
        <v>0</v>
      </c>
      <c r="AA112">
        <v>1</v>
      </c>
    </row>
    <row r="113" spans="1:27" x14ac:dyDescent="0.25">
      <c r="A113" t="s">
        <v>156</v>
      </c>
      <c r="B113" t="s">
        <v>79</v>
      </c>
      <c r="C113" t="s">
        <v>157</v>
      </c>
      <c r="D113" t="s">
        <v>0</v>
      </c>
      <c r="E113">
        <v>16</v>
      </c>
      <c r="F113" t="s">
        <v>81</v>
      </c>
      <c r="G113">
        <v>31</v>
      </c>
      <c r="H113">
        <v>31</v>
      </c>
      <c r="I113">
        <v>1</v>
      </c>
      <c r="J113">
        <v>0</v>
      </c>
      <c r="K113">
        <v>1</v>
      </c>
      <c r="L113">
        <v>21</v>
      </c>
      <c r="M113">
        <v>8</v>
      </c>
      <c r="N113">
        <v>0</v>
      </c>
      <c r="O113">
        <v>7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66</v>
      </c>
      <c r="Y113">
        <v>70.5</v>
      </c>
      <c r="Z113">
        <v>0</v>
      </c>
      <c r="AA113">
        <v>1</v>
      </c>
    </row>
    <row r="114" spans="1:27" x14ac:dyDescent="0.25">
      <c r="A114" t="s">
        <v>242</v>
      </c>
      <c r="B114" t="s">
        <v>79</v>
      </c>
      <c r="C114" t="s">
        <v>243</v>
      </c>
      <c r="D114" t="s">
        <v>0</v>
      </c>
      <c r="E114">
        <v>16</v>
      </c>
      <c r="F114" t="s">
        <v>92</v>
      </c>
      <c r="G114">
        <v>216</v>
      </c>
      <c r="H114">
        <v>72</v>
      </c>
      <c r="I114">
        <v>3</v>
      </c>
      <c r="J114">
        <v>3</v>
      </c>
      <c r="K114">
        <v>0</v>
      </c>
      <c r="L114">
        <v>131</v>
      </c>
      <c r="M114">
        <v>48</v>
      </c>
      <c r="N114">
        <v>2</v>
      </c>
      <c r="O114">
        <v>33</v>
      </c>
      <c r="P114">
        <v>2</v>
      </c>
      <c r="Q114">
        <v>0</v>
      </c>
      <c r="R114">
        <v>0</v>
      </c>
      <c r="S114">
        <v>1</v>
      </c>
      <c r="T114">
        <v>1</v>
      </c>
      <c r="U114">
        <v>0</v>
      </c>
      <c r="V114">
        <v>0</v>
      </c>
      <c r="W114">
        <v>0</v>
      </c>
      <c r="X114">
        <v>39.299999999999997</v>
      </c>
      <c r="Y114">
        <v>69.75</v>
      </c>
      <c r="Z114">
        <v>87</v>
      </c>
      <c r="AA114">
        <v>1</v>
      </c>
    </row>
    <row r="115" spans="1:27" x14ac:dyDescent="0.25">
      <c r="A115" t="s">
        <v>234</v>
      </c>
      <c r="B115" t="s">
        <v>79</v>
      </c>
      <c r="C115" t="s">
        <v>235</v>
      </c>
      <c r="D115" t="s">
        <v>0</v>
      </c>
      <c r="E115">
        <v>12</v>
      </c>
      <c r="F115" t="s">
        <v>92</v>
      </c>
      <c r="G115">
        <v>638</v>
      </c>
      <c r="H115">
        <v>63.8</v>
      </c>
      <c r="I115">
        <v>10</v>
      </c>
      <c r="J115">
        <v>8</v>
      </c>
      <c r="K115">
        <v>2</v>
      </c>
      <c r="L115">
        <v>411</v>
      </c>
      <c r="M115">
        <v>145</v>
      </c>
      <c r="N115">
        <v>3</v>
      </c>
      <c r="O115">
        <v>83</v>
      </c>
      <c r="P115">
        <v>6</v>
      </c>
      <c r="Q115">
        <v>0</v>
      </c>
      <c r="R115">
        <v>0</v>
      </c>
      <c r="S115">
        <v>2</v>
      </c>
      <c r="T115">
        <v>0</v>
      </c>
      <c r="U115">
        <v>0</v>
      </c>
      <c r="V115">
        <v>0</v>
      </c>
      <c r="W115">
        <v>0</v>
      </c>
      <c r="X115">
        <v>42.3</v>
      </c>
      <c r="Y115">
        <v>69.72</v>
      </c>
      <c r="Z115">
        <v>206</v>
      </c>
      <c r="AA115">
        <v>1</v>
      </c>
    </row>
    <row r="116" spans="1:27" x14ac:dyDescent="0.25">
      <c r="A116" t="s">
        <v>122</v>
      </c>
      <c r="B116" t="s">
        <v>79</v>
      </c>
      <c r="C116" t="s">
        <v>123</v>
      </c>
      <c r="D116" t="s">
        <v>5</v>
      </c>
      <c r="E116">
        <v>6</v>
      </c>
      <c r="F116" t="s">
        <v>81</v>
      </c>
      <c r="G116">
        <v>904</v>
      </c>
      <c r="H116">
        <v>56.5</v>
      </c>
      <c r="I116">
        <v>16</v>
      </c>
      <c r="J116">
        <v>12</v>
      </c>
      <c r="K116">
        <v>4</v>
      </c>
      <c r="L116">
        <v>607</v>
      </c>
      <c r="M116">
        <v>214</v>
      </c>
      <c r="N116">
        <v>2</v>
      </c>
      <c r="O116">
        <v>153</v>
      </c>
      <c r="P116">
        <v>12</v>
      </c>
      <c r="Q116">
        <v>2</v>
      </c>
      <c r="R116">
        <v>2</v>
      </c>
      <c r="S116">
        <v>3</v>
      </c>
      <c r="T116">
        <v>1</v>
      </c>
      <c r="U116">
        <v>0</v>
      </c>
      <c r="V116">
        <v>0</v>
      </c>
      <c r="W116">
        <v>0</v>
      </c>
      <c r="X116">
        <v>40.299999999999997</v>
      </c>
      <c r="Y116">
        <v>70.56</v>
      </c>
      <c r="Z116">
        <v>591</v>
      </c>
      <c r="AA116">
        <v>7</v>
      </c>
    </row>
    <row r="117" spans="1:27" x14ac:dyDescent="0.25">
      <c r="A117" t="s">
        <v>132</v>
      </c>
      <c r="B117" t="s">
        <v>79</v>
      </c>
      <c r="C117" t="s">
        <v>133</v>
      </c>
      <c r="D117" t="s">
        <v>5</v>
      </c>
      <c r="E117">
        <v>8</v>
      </c>
      <c r="F117" t="s">
        <v>81</v>
      </c>
      <c r="G117">
        <v>433.5</v>
      </c>
      <c r="H117">
        <v>48.17</v>
      </c>
      <c r="I117">
        <v>9</v>
      </c>
      <c r="J117">
        <v>5</v>
      </c>
      <c r="K117">
        <v>4</v>
      </c>
      <c r="L117">
        <v>314</v>
      </c>
      <c r="M117">
        <v>99</v>
      </c>
      <c r="N117">
        <v>3</v>
      </c>
      <c r="O117">
        <v>79</v>
      </c>
      <c r="P117">
        <v>7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62.7</v>
      </c>
      <c r="Y117">
        <v>70.930000000000007</v>
      </c>
      <c r="Z117">
        <v>45</v>
      </c>
      <c r="AA117">
        <v>7</v>
      </c>
    </row>
    <row r="118" spans="1:27" x14ac:dyDescent="0.25">
      <c r="A118" t="s">
        <v>130</v>
      </c>
      <c r="B118" t="s">
        <v>79</v>
      </c>
      <c r="C118" t="s">
        <v>131</v>
      </c>
      <c r="D118" t="s">
        <v>5</v>
      </c>
      <c r="E118">
        <v>7</v>
      </c>
      <c r="F118" t="s">
        <v>81</v>
      </c>
      <c r="G118">
        <v>557.5</v>
      </c>
      <c r="H118">
        <v>50.68</v>
      </c>
      <c r="I118">
        <v>11</v>
      </c>
      <c r="J118">
        <v>8</v>
      </c>
      <c r="K118">
        <v>3</v>
      </c>
      <c r="L118">
        <v>421</v>
      </c>
      <c r="M118">
        <v>129</v>
      </c>
      <c r="N118">
        <v>2</v>
      </c>
      <c r="O118">
        <v>98</v>
      </c>
      <c r="P118">
        <v>11</v>
      </c>
      <c r="Q118">
        <v>5</v>
      </c>
      <c r="R118">
        <v>5</v>
      </c>
      <c r="S118">
        <v>1</v>
      </c>
      <c r="T118">
        <v>0</v>
      </c>
      <c r="U118">
        <v>0</v>
      </c>
      <c r="V118">
        <v>0</v>
      </c>
      <c r="W118">
        <v>0</v>
      </c>
      <c r="X118">
        <v>51.7</v>
      </c>
      <c r="Y118">
        <v>71.11</v>
      </c>
      <c r="Z118">
        <v>224</v>
      </c>
      <c r="AA118">
        <v>7</v>
      </c>
    </row>
    <row r="119" spans="1:27" x14ac:dyDescent="0.25">
      <c r="A119" t="s">
        <v>158</v>
      </c>
      <c r="B119" t="s">
        <v>79</v>
      </c>
      <c r="C119" t="s">
        <v>159</v>
      </c>
      <c r="D119" t="s">
        <v>5</v>
      </c>
      <c r="E119">
        <v>11</v>
      </c>
      <c r="F119" t="s">
        <v>103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7</v>
      </c>
    </row>
    <row r="120" spans="1:27" x14ac:dyDescent="0.25">
      <c r="A120" t="s">
        <v>126</v>
      </c>
      <c r="B120" t="s">
        <v>79</v>
      </c>
      <c r="C120" t="s">
        <v>127</v>
      </c>
      <c r="D120" t="s">
        <v>5</v>
      </c>
      <c r="E120">
        <v>4</v>
      </c>
      <c r="F120" t="s">
        <v>81</v>
      </c>
      <c r="G120">
        <v>947.5</v>
      </c>
      <c r="H120">
        <v>67.680000000000007</v>
      </c>
      <c r="I120">
        <v>14</v>
      </c>
      <c r="J120">
        <v>13</v>
      </c>
      <c r="K120">
        <v>1</v>
      </c>
      <c r="L120">
        <v>617</v>
      </c>
      <c r="M120">
        <v>200</v>
      </c>
      <c r="N120">
        <v>3</v>
      </c>
      <c r="O120">
        <v>126</v>
      </c>
      <c r="P120">
        <v>8</v>
      </c>
      <c r="Q120">
        <v>0</v>
      </c>
      <c r="R120">
        <v>0</v>
      </c>
      <c r="S120">
        <v>8</v>
      </c>
      <c r="T120">
        <v>5</v>
      </c>
      <c r="U120">
        <v>3</v>
      </c>
      <c r="V120">
        <v>0</v>
      </c>
      <c r="W120">
        <v>0</v>
      </c>
      <c r="X120">
        <v>26.7</v>
      </c>
      <c r="Y120">
        <v>69.959999999999994</v>
      </c>
      <c r="Z120" s="6">
        <v>1362</v>
      </c>
      <c r="AA120">
        <v>7</v>
      </c>
    </row>
    <row r="121" spans="1:27" x14ac:dyDescent="0.25">
      <c r="A121" t="s">
        <v>152</v>
      </c>
      <c r="B121" t="s">
        <v>79</v>
      </c>
      <c r="C121" t="s">
        <v>153</v>
      </c>
      <c r="D121" t="s">
        <v>5</v>
      </c>
      <c r="E121">
        <v>16</v>
      </c>
      <c r="F121" t="s">
        <v>92</v>
      </c>
      <c r="G121">
        <v>295</v>
      </c>
      <c r="H121">
        <v>59</v>
      </c>
      <c r="I121">
        <v>5</v>
      </c>
      <c r="J121">
        <v>4</v>
      </c>
      <c r="K121">
        <v>1</v>
      </c>
      <c r="L121">
        <v>213</v>
      </c>
      <c r="M121">
        <v>66</v>
      </c>
      <c r="N121">
        <v>0</v>
      </c>
      <c r="O121">
        <v>41</v>
      </c>
      <c r="P121">
        <v>4</v>
      </c>
      <c r="Q121">
        <v>0</v>
      </c>
      <c r="R121">
        <v>0</v>
      </c>
      <c r="S121">
        <v>2</v>
      </c>
      <c r="T121">
        <v>0</v>
      </c>
      <c r="U121">
        <v>0</v>
      </c>
      <c r="V121">
        <v>0</v>
      </c>
      <c r="W121">
        <v>0</v>
      </c>
      <c r="X121">
        <v>36.6</v>
      </c>
      <c r="Y121">
        <v>70.06</v>
      </c>
      <c r="Z121">
        <v>196</v>
      </c>
      <c r="AA121">
        <v>7</v>
      </c>
    </row>
    <row r="122" spans="1:27" x14ac:dyDescent="0.25">
      <c r="A122" t="s">
        <v>140</v>
      </c>
      <c r="B122" t="s">
        <v>79</v>
      </c>
      <c r="C122" t="s">
        <v>141</v>
      </c>
      <c r="D122" t="s">
        <v>5</v>
      </c>
      <c r="E122">
        <v>3</v>
      </c>
      <c r="F122" t="s">
        <v>103</v>
      </c>
      <c r="G122">
        <v>270.5</v>
      </c>
      <c r="H122">
        <v>67.62</v>
      </c>
      <c r="I122">
        <v>4</v>
      </c>
      <c r="J122">
        <v>4</v>
      </c>
      <c r="K122">
        <v>0</v>
      </c>
      <c r="L122">
        <v>181</v>
      </c>
      <c r="M122">
        <v>55</v>
      </c>
      <c r="N122">
        <v>3</v>
      </c>
      <c r="O122">
        <v>46</v>
      </c>
      <c r="P122">
        <v>3</v>
      </c>
      <c r="Q122">
        <v>0</v>
      </c>
      <c r="R122">
        <v>0</v>
      </c>
      <c r="S122">
        <v>2</v>
      </c>
      <c r="T122">
        <v>1</v>
      </c>
      <c r="U122">
        <v>0</v>
      </c>
      <c r="V122">
        <v>0</v>
      </c>
      <c r="W122">
        <v>0</v>
      </c>
      <c r="X122">
        <v>27.8</v>
      </c>
      <c r="Y122">
        <v>70.19</v>
      </c>
      <c r="Z122">
        <v>293</v>
      </c>
      <c r="AA122">
        <v>7</v>
      </c>
    </row>
    <row r="123" spans="1:27" x14ac:dyDescent="0.25">
      <c r="A123" t="s">
        <v>120</v>
      </c>
      <c r="B123" t="s">
        <v>79</v>
      </c>
      <c r="C123" t="s">
        <v>121</v>
      </c>
      <c r="D123" t="s">
        <v>5</v>
      </c>
      <c r="E123">
        <v>9</v>
      </c>
      <c r="F123" t="s">
        <v>92</v>
      </c>
      <c r="G123">
        <v>801</v>
      </c>
      <c r="H123">
        <v>61.62</v>
      </c>
      <c r="I123">
        <v>13</v>
      </c>
      <c r="J123">
        <v>10</v>
      </c>
      <c r="K123">
        <v>3</v>
      </c>
      <c r="L123">
        <v>511</v>
      </c>
      <c r="M123">
        <v>179</v>
      </c>
      <c r="N123">
        <v>5</v>
      </c>
      <c r="O123">
        <v>103</v>
      </c>
      <c r="P123">
        <v>12</v>
      </c>
      <c r="Q123">
        <v>0</v>
      </c>
      <c r="R123">
        <v>0</v>
      </c>
      <c r="S123">
        <v>4</v>
      </c>
      <c r="T123">
        <v>1</v>
      </c>
      <c r="U123">
        <v>0</v>
      </c>
      <c r="V123">
        <v>0</v>
      </c>
      <c r="W123">
        <v>0</v>
      </c>
      <c r="X123">
        <v>45.2</v>
      </c>
      <c r="Y123">
        <v>69.87</v>
      </c>
      <c r="Z123">
        <v>379</v>
      </c>
      <c r="AA123">
        <v>7</v>
      </c>
    </row>
    <row r="124" spans="1:27" x14ac:dyDescent="0.25">
      <c r="A124" t="s">
        <v>128</v>
      </c>
      <c r="B124" t="s">
        <v>79</v>
      </c>
      <c r="C124" t="s">
        <v>129</v>
      </c>
      <c r="D124" t="s">
        <v>5</v>
      </c>
      <c r="E124">
        <v>1</v>
      </c>
      <c r="F124" t="s">
        <v>81</v>
      </c>
      <c r="G124">
        <v>883</v>
      </c>
      <c r="H124">
        <v>58.87</v>
      </c>
      <c r="I124">
        <v>15</v>
      </c>
      <c r="J124">
        <v>12</v>
      </c>
      <c r="K124">
        <v>3</v>
      </c>
      <c r="L124">
        <v>612</v>
      </c>
      <c r="M124">
        <v>190</v>
      </c>
      <c r="N124">
        <v>4</v>
      </c>
      <c r="O124">
        <v>132</v>
      </c>
      <c r="P124">
        <v>13</v>
      </c>
      <c r="Q124">
        <v>3</v>
      </c>
      <c r="R124">
        <v>3</v>
      </c>
      <c r="S124">
        <v>7</v>
      </c>
      <c r="T124">
        <v>3</v>
      </c>
      <c r="U124">
        <v>1</v>
      </c>
      <c r="V124">
        <v>1</v>
      </c>
      <c r="W124">
        <v>0</v>
      </c>
      <c r="X124">
        <v>39.5</v>
      </c>
      <c r="Y124">
        <v>70.81</v>
      </c>
      <c r="Z124" s="6">
        <v>1062</v>
      </c>
      <c r="AA124">
        <v>7</v>
      </c>
    </row>
    <row r="125" spans="1:27" x14ac:dyDescent="0.25">
      <c r="A125" t="s">
        <v>138</v>
      </c>
      <c r="B125" t="s">
        <v>79</v>
      </c>
      <c r="C125" t="s">
        <v>139</v>
      </c>
      <c r="D125" t="s">
        <v>5</v>
      </c>
      <c r="E125">
        <v>16</v>
      </c>
      <c r="F125" t="s">
        <v>92</v>
      </c>
      <c r="G125">
        <v>216.5</v>
      </c>
      <c r="H125">
        <v>72.17</v>
      </c>
      <c r="I125">
        <v>3</v>
      </c>
      <c r="J125">
        <v>2</v>
      </c>
      <c r="K125">
        <v>1</v>
      </c>
      <c r="L125">
        <v>104</v>
      </c>
      <c r="M125">
        <v>52</v>
      </c>
      <c r="N125">
        <v>0</v>
      </c>
      <c r="O125">
        <v>21</v>
      </c>
      <c r="P125">
        <v>3</v>
      </c>
      <c r="Q125">
        <v>0</v>
      </c>
      <c r="R125">
        <v>0</v>
      </c>
      <c r="S125">
        <v>2</v>
      </c>
      <c r="T125">
        <v>1</v>
      </c>
      <c r="U125">
        <v>1</v>
      </c>
      <c r="V125">
        <v>1</v>
      </c>
      <c r="W125">
        <v>0</v>
      </c>
      <c r="X125">
        <v>32.299999999999997</v>
      </c>
      <c r="Y125">
        <v>68.3</v>
      </c>
      <c r="Z125">
        <v>178</v>
      </c>
      <c r="AA125">
        <v>7</v>
      </c>
    </row>
    <row r="126" spans="1:27" x14ac:dyDescent="0.25">
      <c r="A126" t="s">
        <v>134</v>
      </c>
      <c r="B126" t="s">
        <v>79</v>
      </c>
      <c r="C126" t="s">
        <v>135</v>
      </c>
      <c r="D126" t="s">
        <v>5</v>
      </c>
      <c r="E126">
        <v>16</v>
      </c>
      <c r="F126" t="s">
        <v>92</v>
      </c>
      <c r="G126">
        <v>406</v>
      </c>
      <c r="H126">
        <v>50.75</v>
      </c>
      <c r="I126">
        <v>8</v>
      </c>
      <c r="J126">
        <v>4</v>
      </c>
      <c r="K126">
        <v>4</v>
      </c>
      <c r="L126">
        <v>276</v>
      </c>
      <c r="M126">
        <v>91</v>
      </c>
      <c r="N126">
        <v>2</v>
      </c>
      <c r="O126">
        <v>60</v>
      </c>
      <c r="P126">
        <v>3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51.9</v>
      </c>
      <c r="Y126">
        <v>69.790000000000006</v>
      </c>
      <c r="Z126">
        <v>100</v>
      </c>
      <c r="AA126">
        <v>7</v>
      </c>
    </row>
    <row r="127" spans="1:27" x14ac:dyDescent="0.25">
      <c r="A127" t="s">
        <v>154</v>
      </c>
      <c r="B127" t="s">
        <v>79</v>
      </c>
      <c r="C127" t="s">
        <v>155</v>
      </c>
      <c r="D127" t="s">
        <v>5</v>
      </c>
      <c r="E127">
        <v>12</v>
      </c>
      <c r="F127" t="s">
        <v>92</v>
      </c>
      <c r="G127">
        <v>178.5</v>
      </c>
      <c r="H127">
        <v>59.5</v>
      </c>
      <c r="I127">
        <v>3</v>
      </c>
      <c r="J127">
        <v>3</v>
      </c>
      <c r="K127">
        <v>0</v>
      </c>
      <c r="L127">
        <v>148</v>
      </c>
      <c r="M127">
        <v>31</v>
      </c>
      <c r="N127">
        <v>2</v>
      </c>
      <c r="O127">
        <v>33</v>
      </c>
      <c r="P127">
        <v>2</v>
      </c>
      <c r="Q127">
        <v>0</v>
      </c>
      <c r="R127">
        <v>0</v>
      </c>
      <c r="S127">
        <v>1</v>
      </c>
      <c r="T127">
        <v>1</v>
      </c>
      <c r="U127">
        <v>0</v>
      </c>
      <c r="V127">
        <v>0</v>
      </c>
      <c r="W127">
        <v>0</v>
      </c>
      <c r="X127">
        <v>33.700000000000003</v>
      </c>
      <c r="Y127">
        <v>71.17</v>
      </c>
      <c r="Z127">
        <v>0</v>
      </c>
      <c r="AA127">
        <v>7</v>
      </c>
    </row>
    <row r="128" spans="1:27" x14ac:dyDescent="0.25">
      <c r="A128" t="s">
        <v>150</v>
      </c>
      <c r="B128" t="s">
        <v>79</v>
      </c>
      <c r="C128" t="s">
        <v>151</v>
      </c>
      <c r="D128" t="s">
        <v>5</v>
      </c>
      <c r="E128">
        <v>16</v>
      </c>
      <c r="F128" t="s">
        <v>92</v>
      </c>
      <c r="G128">
        <v>117.5</v>
      </c>
      <c r="H128">
        <v>39.17</v>
      </c>
      <c r="I128">
        <v>3</v>
      </c>
      <c r="J128">
        <v>1</v>
      </c>
      <c r="K128">
        <v>2</v>
      </c>
      <c r="L128">
        <v>94</v>
      </c>
      <c r="M128">
        <v>24</v>
      </c>
      <c r="N128">
        <v>1</v>
      </c>
      <c r="O128">
        <v>23</v>
      </c>
      <c r="P128">
        <v>2</v>
      </c>
      <c r="Q128">
        <v>0</v>
      </c>
      <c r="R128">
        <v>0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56</v>
      </c>
      <c r="Y128">
        <v>70.63</v>
      </c>
      <c r="Z128">
        <v>36</v>
      </c>
      <c r="AA128">
        <v>7</v>
      </c>
    </row>
    <row r="129" spans="1:27" x14ac:dyDescent="0.25">
      <c r="A129" t="s">
        <v>144</v>
      </c>
      <c r="B129" t="s">
        <v>79</v>
      </c>
      <c r="C129" t="s">
        <v>145</v>
      </c>
      <c r="D129" t="s">
        <v>5</v>
      </c>
      <c r="E129">
        <v>10</v>
      </c>
      <c r="F129" t="s">
        <v>103</v>
      </c>
      <c r="G129">
        <v>52</v>
      </c>
      <c r="H129">
        <v>52</v>
      </c>
      <c r="I129">
        <v>1</v>
      </c>
      <c r="J129">
        <v>1</v>
      </c>
      <c r="K129">
        <v>0</v>
      </c>
      <c r="L129">
        <v>53</v>
      </c>
      <c r="M129">
        <v>10</v>
      </c>
      <c r="N129">
        <v>0</v>
      </c>
      <c r="O129">
        <v>9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74</v>
      </c>
      <c r="Y129">
        <v>69.75</v>
      </c>
      <c r="Z129">
        <v>2</v>
      </c>
      <c r="AA129">
        <v>7</v>
      </c>
    </row>
    <row r="130" spans="1:27" x14ac:dyDescent="0.25">
      <c r="A130" t="s">
        <v>124</v>
      </c>
      <c r="B130" t="s">
        <v>79</v>
      </c>
      <c r="C130" t="s">
        <v>125</v>
      </c>
      <c r="D130" t="s">
        <v>5</v>
      </c>
      <c r="E130">
        <v>2</v>
      </c>
      <c r="F130" t="s">
        <v>81</v>
      </c>
      <c r="G130">
        <v>943.5</v>
      </c>
      <c r="H130">
        <v>55.5</v>
      </c>
      <c r="I130">
        <v>17</v>
      </c>
      <c r="J130">
        <v>11</v>
      </c>
      <c r="K130">
        <v>6</v>
      </c>
      <c r="L130">
        <v>636</v>
      </c>
      <c r="M130">
        <v>205</v>
      </c>
      <c r="N130">
        <v>3</v>
      </c>
      <c r="O130">
        <v>127</v>
      </c>
      <c r="P130">
        <v>17</v>
      </c>
      <c r="Q130">
        <v>2</v>
      </c>
      <c r="R130">
        <v>2</v>
      </c>
      <c r="S130">
        <v>7</v>
      </c>
      <c r="T130">
        <v>4</v>
      </c>
      <c r="U130">
        <v>2</v>
      </c>
      <c r="V130">
        <v>1</v>
      </c>
      <c r="W130">
        <v>0</v>
      </c>
      <c r="X130">
        <v>42.5</v>
      </c>
      <c r="Y130">
        <v>70.44</v>
      </c>
      <c r="Z130" s="6">
        <v>1251</v>
      </c>
      <c r="AA130">
        <v>7</v>
      </c>
    </row>
    <row r="131" spans="1:27" x14ac:dyDescent="0.25">
      <c r="A131" t="s">
        <v>112</v>
      </c>
      <c r="B131" t="s">
        <v>79</v>
      </c>
      <c r="C131" t="s">
        <v>113</v>
      </c>
      <c r="D131" t="s">
        <v>5</v>
      </c>
      <c r="E131">
        <v>5</v>
      </c>
      <c r="F131" t="s">
        <v>103</v>
      </c>
      <c r="G131">
        <v>48</v>
      </c>
      <c r="H131">
        <v>24</v>
      </c>
      <c r="I131">
        <v>2</v>
      </c>
      <c r="J131">
        <v>0</v>
      </c>
      <c r="K131">
        <v>2</v>
      </c>
      <c r="L131">
        <v>42</v>
      </c>
      <c r="M131">
        <v>12</v>
      </c>
      <c r="N131">
        <v>0</v>
      </c>
      <c r="O131">
        <v>18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65.5</v>
      </c>
      <c r="Y131">
        <v>73</v>
      </c>
      <c r="Z131">
        <v>0</v>
      </c>
      <c r="AA131">
        <v>7</v>
      </c>
    </row>
    <row r="132" spans="1:27" x14ac:dyDescent="0.25">
      <c r="A132" t="s">
        <v>136</v>
      </c>
      <c r="B132" t="s">
        <v>79</v>
      </c>
      <c r="C132" t="s">
        <v>325</v>
      </c>
      <c r="D132" t="s">
        <v>5</v>
      </c>
      <c r="E132">
        <v>16</v>
      </c>
      <c r="F132" t="s">
        <v>92</v>
      </c>
      <c r="G132">
        <v>74</v>
      </c>
      <c r="H132">
        <v>37</v>
      </c>
      <c r="I132">
        <v>2</v>
      </c>
      <c r="J132">
        <v>1</v>
      </c>
      <c r="K132">
        <v>1</v>
      </c>
      <c r="L132">
        <v>69</v>
      </c>
      <c r="M132">
        <v>17</v>
      </c>
      <c r="N132">
        <v>0</v>
      </c>
      <c r="O132">
        <v>19</v>
      </c>
      <c r="P132">
        <v>3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59</v>
      </c>
      <c r="Y132">
        <v>73.33</v>
      </c>
      <c r="Z132">
        <v>15</v>
      </c>
      <c r="AA132">
        <v>7</v>
      </c>
    </row>
    <row r="133" spans="1:27" x14ac:dyDescent="0.25">
      <c r="A133" t="s">
        <v>146</v>
      </c>
      <c r="B133" t="s">
        <v>79</v>
      </c>
      <c r="C133" t="s">
        <v>137</v>
      </c>
      <c r="D133" t="s">
        <v>5</v>
      </c>
      <c r="E133">
        <v>14</v>
      </c>
      <c r="F133" t="s">
        <v>92</v>
      </c>
      <c r="G133">
        <v>344.5</v>
      </c>
      <c r="H133">
        <v>57.42</v>
      </c>
      <c r="I133">
        <v>6</v>
      </c>
      <c r="J133">
        <v>4</v>
      </c>
      <c r="K133">
        <v>2</v>
      </c>
      <c r="L133">
        <v>233</v>
      </c>
      <c r="M133">
        <v>81</v>
      </c>
      <c r="N133">
        <v>2</v>
      </c>
      <c r="O133">
        <v>56</v>
      </c>
      <c r="P133">
        <v>5</v>
      </c>
      <c r="Q133">
        <v>1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57.5</v>
      </c>
      <c r="Y133">
        <v>70.430000000000007</v>
      </c>
      <c r="Z133">
        <v>37</v>
      </c>
      <c r="AA133">
        <v>7</v>
      </c>
    </row>
    <row r="134" spans="1:27" x14ac:dyDescent="0.25">
      <c r="A134" t="s">
        <v>156</v>
      </c>
      <c r="B134" t="s">
        <v>79</v>
      </c>
      <c r="C134" t="s">
        <v>147</v>
      </c>
      <c r="D134" t="s">
        <v>5</v>
      </c>
      <c r="E134">
        <v>16</v>
      </c>
      <c r="F134" t="s">
        <v>92</v>
      </c>
      <c r="G134">
        <v>327.5</v>
      </c>
      <c r="H134">
        <v>46.79</v>
      </c>
      <c r="I134">
        <v>7</v>
      </c>
      <c r="J134">
        <v>4</v>
      </c>
      <c r="K134">
        <v>3</v>
      </c>
      <c r="L134">
        <v>248</v>
      </c>
      <c r="M134">
        <v>76</v>
      </c>
      <c r="N134">
        <v>1</v>
      </c>
      <c r="O134">
        <v>63</v>
      </c>
      <c r="P134">
        <v>6</v>
      </c>
      <c r="Q134">
        <v>2</v>
      </c>
      <c r="R134">
        <v>2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55.7</v>
      </c>
      <c r="Y134">
        <v>70.95</v>
      </c>
      <c r="Z134">
        <v>66</v>
      </c>
      <c r="AA134">
        <v>7</v>
      </c>
    </row>
    <row r="135" spans="1:27" x14ac:dyDescent="0.25">
      <c r="A135" t="s">
        <v>148</v>
      </c>
      <c r="B135" t="s">
        <v>79</v>
      </c>
      <c r="C135" t="s">
        <v>157</v>
      </c>
      <c r="D135" t="s">
        <v>5</v>
      </c>
      <c r="E135">
        <v>15</v>
      </c>
      <c r="F135" t="s">
        <v>103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7</v>
      </c>
    </row>
    <row r="136" spans="1:27" x14ac:dyDescent="0.25">
      <c r="A136" t="s">
        <v>142</v>
      </c>
      <c r="B136" t="s">
        <v>79</v>
      </c>
      <c r="C136" t="s">
        <v>149</v>
      </c>
      <c r="D136" t="s">
        <v>5</v>
      </c>
      <c r="E136">
        <v>16</v>
      </c>
      <c r="F136" t="s">
        <v>103</v>
      </c>
      <c r="G136">
        <v>31</v>
      </c>
      <c r="H136">
        <v>31</v>
      </c>
      <c r="I136">
        <v>1</v>
      </c>
      <c r="J136">
        <v>0</v>
      </c>
      <c r="K136">
        <v>1</v>
      </c>
      <c r="L136">
        <v>19</v>
      </c>
      <c r="M136">
        <v>9</v>
      </c>
      <c r="N136">
        <v>0</v>
      </c>
      <c r="O136">
        <v>5</v>
      </c>
      <c r="P136">
        <v>3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66</v>
      </c>
      <c r="Y136">
        <v>72</v>
      </c>
      <c r="Z136">
        <v>0</v>
      </c>
      <c r="AA136">
        <v>7</v>
      </c>
    </row>
    <row r="137" spans="1:27" x14ac:dyDescent="0.25">
      <c r="A137" t="s">
        <v>194</v>
      </c>
      <c r="B137" t="s">
        <v>79</v>
      </c>
      <c r="C137" t="s">
        <v>143</v>
      </c>
      <c r="D137" t="s">
        <v>5</v>
      </c>
      <c r="E137">
        <v>13</v>
      </c>
      <c r="F137" t="s">
        <v>92</v>
      </c>
      <c r="G137">
        <v>60</v>
      </c>
      <c r="H137">
        <v>60</v>
      </c>
      <c r="I137">
        <v>1</v>
      </c>
      <c r="J137">
        <v>0</v>
      </c>
      <c r="K137">
        <v>1</v>
      </c>
      <c r="L137">
        <v>33</v>
      </c>
      <c r="M137">
        <v>16</v>
      </c>
      <c r="N137">
        <v>0</v>
      </c>
      <c r="O137">
        <v>1</v>
      </c>
      <c r="P137">
        <v>3</v>
      </c>
      <c r="Q137">
        <v>1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68</v>
      </c>
      <c r="Y137">
        <v>70.33</v>
      </c>
      <c r="Z137">
        <v>0</v>
      </c>
      <c r="AA137">
        <v>7</v>
      </c>
    </row>
    <row r="138" spans="1:27" x14ac:dyDescent="0.25">
      <c r="A138" t="s">
        <v>216</v>
      </c>
      <c r="B138" t="s">
        <v>79</v>
      </c>
      <c r="C138" t="s">
        <v>195</v>
      </c>
      <c r="D138" t="s">
        <v>6</v>
      </c>
      <c r="E138">
        <v>1</v>
      </c>
      <c r="F138" t="s">
        <v>81</v>
      </c>
      <c r="G138">
        <v>899.5</v>
      </c>
      <c r="H138">
        <v>64.25</v>
      </c>
      <c r="I138">
        <v>14</v>
      </c>
      <c r="J138">
        <v>10</v>
      </c>
      <c r="K138">
        <v>4</v>
      </c>
      <c r="L138">
        <v>522</v>
      </c>
      <c r="M138">
        <v>199</v>
      </c>
      <c r="N138">
        <v>3</v>
      </c>
      <c r="O138">
        <v>109</v>
      </c>
      <c r="P138">
        <v>12</v>
      </c>
      <c r="Q138">
        <v>1</v>
      </c>
      <c r="R138">
        <v>1</v>
      </c>
      <c r="S138">
        <v>8</v>
      </c>
      <c r="T138">
        <v>5</v>
      </c>
      <c r="U138">
        <v>3</v>
      </c>
      <c r="V138">
        <v>1</v>
      </c>
      <c r="W138">
        <v>0</v>
      </c>
      <c r="X138">
        <v>30.5</v>
      </c>
      <c r="Y138">
        <v>69.81</v>
      </c>
      <c r="Z138" s="6">
        <v>1415</v>
      </c>
      <c r="AA138">
        <v>4</v>
      </c>
    </row>
    <row r="139" spans="1:27" x14ac:dyDescent="0.25">
      <c r="A139" t="s">
        <v>210</v>
      </c>
      <c r="B139" t="s">
        <v>79</v>
      </c>
      <c r="C139" t="s">
        <v>217</v>
      </c>
      <c r="D139" t="s">
        <v>6</v>
      </c>
      <c r="E139">
        <v>14</v>
      </c>
      <c r="F139" t="s">
        <v>92</v>
      </c>
      <c r="G139">
        <v>83.5</v>
      </c>
      <c r="H139">
        <v>41.75</v>
      </c>
      <c r="I139">
        <v>2</v>
      </c>
      <c r="J139">
        <v>1</v>
      </c>
      <c r="K139">
        <v>1</v>
      </c>
      <c r="L139">
        <v>73</v>
      </c>
      <c r="M139">
        <v>19</v>
      </c>
      <c r="N139">
        <v>0</v>
      </c>
      <c r="O139">
        <v>12</v>
      </c>
      <c r="P139">
        <v>3</v>
      </c>
      <c r="Q139">
        <v>1</v>
      </c>
      <c r="R139">
        <v>1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66.5</v>
      </c>
      <c r="Y139">
        <v>71.33</v>
      </c>
      <c r="Z139">
        <v>4</v>
      </c>
      <c r="AA139">
        <v>4</v>
      </c>
    </row>
    <row r="140" spans="1:27" x14ac:dyDescent="0.25">
      <c r="A140" t="s">
        <v>218</v>
      </c>
      <c r="B140" t="s">
        <v>79</v>
      </c>
      <c r="C140" t="s">
        <v>211</v>
      </c>
      <c r="D140" t="s">
        <v>6</v>
      </c>
      <c r="E140">
        <v>12</v>
      </c>
      <c r="F140" t="s">
        <v>92</v>
      </c>
      <c r="G140">
        <v>202.5</v>
      </c>
      <c r="H140">
        <v>50.62</v>
      </c>
      <c r="I140">
        <v>4</v>
      </c>
      <c r="J140">
        <v>2</v>
      </c>
      <c r="K140">
        <v>2</v>
      </c>
      <c r="L140">
        <v>146</v>
      </c>
      <c r="M140">
        <v>43</v>
      </c>
      <c r="N140">
        <v>1</v>
      </c>
      <c r="O140">
        <v>23</v>
      </c>
      <c r="P140">
        <v>2</v>
      </c>
      <c r="Q140">
        <v>1</v>
      </c>
      <c r="R140">
        <v>1</v>
      </c>
      <c r="S140">
        <v>1</v>
      </c>
      <c r="T140">
        <v>0</v>
      </c>
      <c r="U140">
        <v>0</v>
      </c>
      <c r="V140">
        <v>0</v>
      </c>
      <c r="W140">
        <v>0</v>
      </c>
      <c r="X140">
        <v>48.8</v>
      </c>
      <c r="Y140">
        <v>70.08</v>
      </c>
      <c r="Z140">
        <v>57</v>
      </c>
      <c r="AA140">
        <v>4</v>
      </c>
    </row>
    <row r="141" spans="1:27" x14ac:dyDescent="0.25">
      <c r="A141" t="s">
        <v>196</v>
      </c>
      <c r="B141" t="s">
        <v>79</v>
      </c>
      <c r="C141" t="s">
        <v>219</v>
      </c>
      <c r="D141" t="s">
        <v>6</v>
      </c>
      <c r="E141">
        <v>15</v>
      </c>
      <c r="F141" t="s">
        <v>92</v>
      </c>
      <c r="G141">
        <v>28</v>
      </c>
      <c r="H141">
        <v>28</v>
      </c>
      <c r="I141">
        <v>1</v>
      </c>
      <c r="J141">
        <v>0</v>
      </c>
      <c r="K141">
        <v>1</v>
      </c>
      <c r="L141">
        <v>25</v>
      </c>
      <c r="M141">
        <v>6</v>
      </c>
      <c r="N141">
        <v>0</v>
      </c>
      <c r="O141">
        <v>5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66</v>
      </c>
      <c r="Y141">
        <v>70.5</v>
      </c>
      <c r="Z141">
        <v>0</v>
      </c>
      <c r="AA141">
        <v>4</v>
      </c>
    </row>
    <row r="142" spans="1:27" x14ac:dyDescent="0.25">
      <c r="A142" t="s">
        <v>200</v>
      </c>
      <c r="B142" t="s">
        <v>79</v>
      </c>
      <c r="C142" t="s">
        <v>197</v>
      </c>
      <c r="D142" t="s">
        <v>6</v>
      </c>
      <c r="E142">
        <v>6</v>
      </c>
      <c r="F142" t="s">
        <v>81</v>
      </c>
      <c r="G142">
        <v>1107</v>
      </c>
      <c r="H142">
        <v>69.19</v>
      </c>
      <c r="I142">
        <v>16</v>
      </c>
      <c r="J142">
        <v>15</v>
      </c>
      <c r="K142">
        <v>1</v>
      </c>
      <c r="L142">
        <v>718</v>
      </c>
      <c r="M142">
        <v>234</v>
      </c>
      <c r="N142">
        <v>9</v>
      </c>
      <c r="O142">
        <v>136</v>
      </c>
      <c r="P142">
        <v>16</v>
      </c>
      <c r="Q142">
        <v>3</v>
      </c>
      <c r="R142">
        <v>3</v>
      </c>
      <c r="S142">
        <v>8</v>
      </c>
      <c r="T142">
        <v>1</v>
      </c>
      <c r="U142">
        <v>0</v>
      </c>
      <c r="V142">
        <v>0</v>
      </c>
      <c r="W142">
        <v>0</v>
      </c>
      <c r="X142">
        <v>29.1</v>
      </c>
      <c r="Y142">
        <v>69.81</v>
      </c>
      <c r="Z142">
        <v>940</v>
      </c>
      <c r="AA142">
        <v>4</v>
      </c>
    </row>
    <row r="143" spans="1:27" x14ac:dyDescent="0.25">
      <c r="A143" t="s">
        <v>208</v>
      </c>
      <c r="B143" t="s">
        <v>79</v>
      </c>
      <c r="C143" t="s">
        <v>201</v>
      </c>
      <c r="D143" t="s">
        <v>6</v>
      </c>
      <c r="E143">
        <v>10</v>
      </c>
      <c r="F143" t="s">
        <v>81</v>
      </c>
      <c r="G143">
        <v>705</v>
      </c>
      <c r="H143">
        <v>64.09</v>
      </c>
      <c r="I143">
        <v>11</v>
      </c>
      <c r="J143">
        <v>8</v>
      </c>
      <c r="K143">
        <v>3</v>
      </c>
      <c r="L143">
        <v>397</v>
      </c>
      <c r="M143">
        <v>151</v>
      </c>
      <c r="N143">
        <v>7</v>
      </c>
      <c r="O143">
        <v>101</v>
      </c>
      <c r="P143">
        <v>10</v>
      </c>
      <c r="Q143">
        <v>0</v>
      </c>
      <c r="R143">
        <v>0</v>
      </c>
      <c r="S143">
        <v>5</v>
      </c>
      <c r="T143">
        <v>3</v>
      </c>
      <c r="U143">
        <v>1</v>
      </c>
      <c r="V143">
        <v>1</v>
      </c>
      <c r="W143">
        <v>0</v>
      </c>
      <c r="X143">
        <v>38.299999999999997</v>
      </c>
      <c r="Y143">
        <v>70.22</v>
      </c>
      <c r="Z143">
        <v>610</v>
      </c>
      <c r="AA143">
        <v>4</v>
      </c>
    </row>
    <row r="144" spans="1:27" x14ac:dyDescent="0.25">
      <c r="A144" t="s">
        <v>202</v>
      </c>
      <c r="B144" t="s">
        <v>79</v>
      </c>
      <c r="C144" t="s">
        <v>209</v>
      </c>
      <c r="D144" t="s">
        <v>6</v>
      </c>
      <c r="E144">
        <v>8</v>
      </c>
      <c r="F144" t="s">
        <v>92</v>
      </c>
      <c r="G144">
        <v>219</v>
      </c>
      <c r="H144">
        <v>36.5</v>
      </c>
      <c r="I144">
        <v>6</v>
      </c>
      <c r="J144">
        <v>1</v>
      </c>
      <c r="K144">
        <v>5</v>
      </c>
      <c r="L144">
        <v>161</v>
      </c>
      <c r="M144">
        <v>56</v>
      </c>
      <c r="N144">
        <v>0</v>
      </c>
      <c r="O144">
        <v>47</v>
      </c>
      <c r="P144">
        <v>6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71.5</v>
      </c>
      <c r="Y144">
        <v>71.53</v>
      </c>
      <c r="Z144">
        <v>2</v>
      </c>
      <c r="AA144">
        <v>4</v>
      </c>
    </row>
    <row r="145" spans="1:27" x14ac:dyDescent="0.25">
      <c r="A145" t="s">
        <v>112</v>
      </c>
      <c r="B145" t="s">
        <v>79</v>
      </c>
      <c r="C145" t="s">
        <v>203</v>
      </c>
      <c r="D145" t="s">
        <v>6</v>
      </c>
      <c r="E145">
        <v>5</v>
      </c>
      <c r="F145" t="s">
        <v>81</v>
      </c>
      <c r="G145">
        <v>556</v>
      </c>
      <c r="H145">
        <v>61.78</v>
      </c>
      <c r="I145">
        <v>9</v>
      </c>
      <c r="J145">
        <v>8</v>
      </c>
      <c r="K145">
        <v>1</v>
      </c>
      <c r="L145">
        <v>398</v>
      </c>
      <c r="M145">
        <v>110</v>
      </c>
      <c r="N145">
        <v>4</v>
      </c>
      <c r="O145">
        <v>74</v>
      </c>
      <c r="P145">
        <v>8</v>
      </c>
      <c r="Q145">
        <v>0</v>
      </c>
      <c r="R145">
        <v>0</v>
      </c>
      <c r="S145">
        <v>2</v>
      </c>
      <c r="T145">
        <v>2</v>
      </c>
      <c r="U145">
        <v>1</v>
      </c>
      <c r="V145">
        <v>1</v>
      </c>
      <c r="W145">
        <v>0</v>
      </c>
      <c r="X145">
        <v>39.700000000000003</v>
      </c>
      <c r="Y145">
        <v>70.42</v>
      </c>
      <c r="Z145">
        <v>335</v>
      </c>
      <c r="AA145">
        <v>4</v>
      </c>
    </row>
    <row r="146" spans="1:27" x14ac:dyDescent="0.25">
      <c r="A146" t="s">
        <v>212</v>
      </c>
      <c r="B146" t="s">
        <v>79</v>
      </c>
      <c r="C146" t="s">
        <v>113</v>
      </c>
      <c r="D146" t="s">
        <v>6</v>
      </c>
      <c r="E146">
        <v>16</v>
      </c>
      <c r="F146" t="s">
        <v>92</v>
      </c>
      <c r="G146">
        <v>380</v>
      </c>
      <c r="H146">
        <v>63.33</v>
      </c>
      <c r="I146">
        <v>6</v>
      </c>
      <c r="J146">
        <v>5</v>
      </c>
      <c r="K146">
        <v>1</v>
      </c>
      <c r="L146">
        <v>259</v>
      </c>
      <c r="M146">
        <v>74</v>
      </c>
      <c r="N146">
        <v>2</v>
      </c>
      <c r="O146">
        <v>55</v>
      </c>
      <c r="P146">
        <v>4</v>
      </c>
      <c r="Q146">
        <v>2</v>
      </c>
      <c r="R146">
        <v>2</v>
      </c>
      <c r="S146">
        <v>4</v>
      </c>
      <c r="T146">
        <v>3</v>
      </c>
      <c r="U146">
        <v>2</v>
      </c>
      <c r="V146">
        <v>0</v>
      </c>
      <c r="W146">
        <v>0</v>
      </c>
      <c r="X146">
        <v>29.2</v>
      </c>
      <c r="Y146">
        <v>70.23</v>
      </c>
      <c r="Z146">
        <v>671</v>
      </c>
      <c r="AA146">
        <v>4</v>
      </c>
    </row>
    <row r="147" spans="1:27" x14ac:dyDescent="0.25">
      <c r="A147" t="s">
        <v>204</v>
      </c>
      <c r="B147" t="s">
        <v>79</v>
      </c>
      <c r="C147" t="s">
        <v>213</v>
      </c>
      <c r="D147" t="s">
        <v>6</v>
      </c>
      <c r="E147">
        <v>11</v>
      </c>
      <c r="F147" t="s">
        <v>92</v>
      </c>
      <c r="G147">
        <v>274</v>
      </c>
      <c r="H147">
        <v>54.8</v>
      </c>
      <c r="I147">
        <v>5</v>
      </c>
      <c r="J147">
        <v>1</v>
      </c>
      <c r="K147">
        <v>4</v>
      </c>
      <c r="L147">
        <v>136</v>
      </c>
      <c r="M147">
        <v>54</v>
      </c>
      <c r="N147">
        <v>2</v>
      </c>
      <c r="O147">
        <v>40</v>
      </c>
      <c r="P147">
        <v>2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58.6</v>
      </c>
      <c r="Y147">
        <v>70</v>
      </c>
      <c r="Z147">
        <v>500</v>
      </c>
      <c r="AA147">
        <v>4</v>
      </c>
    </row>
    <row r="148" spans="1:27" x14ac:dyDescent="0.25">
      <c r="A148" t="s">
        <v>206</v>
      </c>
      <c r="B148" t="s">
        <v>79</v>
      </c>
      <c r="C148" t="s">
        <v>205</v>
      </c>
      <c r="D148" t="s">
        <v>6</v>
      </c>
      <c r="E148">
        <v>4</v>
      </c>
      <c r="F148" t="s">
        <v>92</v>
      </c>
      <c r="G148">
        <v>1229.5</v>
      </c>
      <c r="H148">
        <v>64.709999999999994</v>
      </c>
      <c r="I148">
        <v>19</v>
      </c>
      <c r="J148">
        <v>13</v>
      </c>
      <c r="K148">
        <v>6</v>
      </c>
      <c r="L148">
        <v>733</v>
      </c>
      <c r="M148">
        <v>252</v>
      </c>
      <c r="N148">
        <v>9</v>
      </c>
      <c r="O148">
        <v>164</v>
      </c>
      <c r="P148">
        <v>9</v>
      </c>
      <c r="Q148">
        <v>3</v>
      </c>
      <c r="R148">
        <v>3</v>
      </c>
      <c r="S148">
        <v>10</v>
      </c>
      <c r="T148">
        <v>3</v>
      </c>
      <c r="U148">
        <v>3</v>
      </c>
      <c r="V148">
        <v>2</v>
      </c>
      <c r="W148">
        <v>1</v>
      </c>
      <c r="X148">
        <v>36.299999999999997</v>
      </c>
      <c r="Y148">
        <v>69.86</v>
      </c>
      <c r="Z148" s="6">
        <v>1494</v>
      </c>
      <c r="AA148">
        <v>4</v>
      </c>
    </row>
    <row r="149" spans="1:27" x14ac:dyDescent="0.25">
      <c r="A149" t="s">
        <v>198</v>
      </c>
      <c r="B149" t="s">
        <v>79</v>
      </c>
      <c r="C149" t="s">
        <v>207</v>
      </c>
      <c r="D149" t="s">
        <v>6</v>
      </c>
      <c r="E149">
        <v>9</v>
      </c>
      <c r="F149" t="s">
        <v>92</v>
      </c>
      <c r="G149">
        <v>337</v>
      </c>
      <c r="H149">
        <v>48.14</v>
      </c>
      <c r="I149">
        <v>7</v>
      </c>
      <c r="J149">
        <v>3</v>
      </c>
      <c r="K149">
        <v>4</v>
      </c>
      <c r="L149">
        <v>223</v>
      </c>
      <c r="M149">
        <v>76</v>
      </c>
      <c r="N149">
        <v>3</v>
      </c>
      <c r="O149">
        <v>49</v>
      </c>
      <c r="P149">
        <v>9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60.3</v>
      </c>
      <c r="Y149">
        <v>70.349999999999994</v>
      </c>
      <c r="Z149">
        <v>71</v>
      </c>
      <c r="AA149">
        <v>4</v>
      </c>
    </row>
    <row r="150" spans="1:27" x14ac:dyDescent="0.25">
      <c r="A150" t="s">
        <v>214</v>
      </c>
      <c r="B150" t="s">
        <v>79</v>
      </c>
      <c r="C150" t="s">
        <v>199</v>
      </c>
      <c r="D150" t="s">
        <v>6</v>
      </c>
      <c r="E150">
        <v>3</v>
      </c>
      <c r="F150" t="s">
        <v>81</v>
      </c>
      <c r="G150">
        <v>1130</v>
      </c>
      <c r="H150">
        <v>70.62</v>
      </c>
      <c r="I150">
        <v>16</v>
      </c>
      <c r="J150">
        <v>15</v>
      </c>
      <c r="K150">
        <v>1</v>
      </c>
      <c r="L150">
        <v>653</v>
      </c>
      <c r="M150">
        <v>243</v>
      </c>
      <c r="N150">
        <v>12</v>
      </c>
      <c r="O150">
        <v>161</v>
      </c>
      <c r="P150">
        <v>29</v>
      </c>
      <c r="Q150">
        <v>0</v>
      </c>
      <c r="R150">
        <v>0</v>
      </c>
      <c r="S150">
        <v>7</v>
      </c>
      <c r="T150">
        <v>6</v>
      </c>
      <c r="U150">
        <v>2</v>
      </c>
      <c r="V150">
        <v>1</v>
      </c>
      <c r="W150">
        <v>0</v>
      </c>
      <c r="X150">
        <v>35</v>
      </c>
      <c r="Y150">
        <v>70.430000000000007</v>
      </c>
      <c r="Z150" s="6">
        <v>1136</v>
      </c>
      <c r="AA150">
        <v>4</v>
      </c>
    </row>
    <row r="151" spans="1:27" x14ac:dyDescent="0.25">
      <c r="A151" t="s">
        <v>192</v>
      </c>
      <c r="B151" t="s">
        <v>79</v>
      </c>
      <c r="C151" t="s">
        <v>215</v>
      </c>
      <c r="D151" t="s">
        <v>6</v>
      </c>
      <c r="E151">
        <v>9</v>
      </c>
      <c r="F151" t="s">
        <v>92</v>
      </c>
      <c r="G151">
        <v>382.5</v>
      </c>
      <c r="H151">
        <v>54.64</v>
      </c>
      <c r="I151">
        <v>7</v>
      </c>
      <c r="J151">
        <v>5</v>
      </c>
      <c r="K151">
        <v>2</v>
      </c>
      <c r="L151">
        <v>272</v>
      </c>
      <c r="M151">
        <v>91</v>
      </c>
      <c r="N151">
        <v>0</v>
      </c>
      <c r="O151">
        <v>63</v>
      </c>
      <c r="P151">
        <v>6</v>
      </c>
      <c r="Q151">
        <v>0</v>
      </c>
      <c r="R151">
        <v>0</v>
      </c>
      <c r="S151">
        <v>1</v>
      </c>
      <c r="T151">
        <v>1</v>
      </c>
      <c r="U151">
        <v>0</v>
      </c>
      <c r="V151">
        <v>0</v>
      </c>
      <c r="W151">
        <v>0</v>
      </c>
      <c r="X151">
        <v>52.6</v>
      </c>
      <c r="Y151">
        <v>70.5</v>
      </c>
      <c r="Z151">
        <v>96</v>
      </c>
      <c r="AA151">
        <v>4</v>
      </c>
    </row>
    <row r="152" spans="1:27" x14ac:dyDescent="0.25">
      <c r="A152" t="s">
        <v>220</v>
      </c>
      <c r="B152" t="s">
        <v>79</v>
      </c>
      <c r="C152" t="s">
        <v>193</v>
      </c>
      <c r="D152" t="s">
        <v>6</v>
      </c>
      <c r="E152">
        <v>2</v>
      </c>
      <c r="F152" t="s">
        <v>81</v>
      </c>
      <c r="G152">
        <v>997.5</v>
      </c>
      <c r="H152">
        <v>76.73</v>
      </c>
      <c r="I152">
        <v>13</v>
      </c>
      <c r="J152">
        <v>12</v>
      </c>
      <c r="K152">
        <v>1</v>
      </c>
      <c r="L152">
        <v>567</v>
      </c>
      <c r="M152">
        <v>196</v>
      </c>
      <c r="N152">
        <v>9</v>
      </c>
      <c r="O152">
        <v>98</v>
      </c>
      <c r="P152">
        <v>10</v>
      </c>
      <c r="Q152">
        <v>2</v>
      </c>
      <c r="R152">
        <v>2</v>
      </c>
      <c r="S152">
        <v>10</v>
      </c>
      <c r="T152">
        <v>6</v>
      </c>
      <c r="U152">
        <v>3</v>
      </c>
      <c r="V152">
        <v>2</v>
      </c>
      <c r="W152">
        <v>0</v>
      </c>
      <c r="X152">
        <v>18.5</v>
      </c>
      <c r="Y152">
        <v>69.47</v>
      </c>
      <c r="Z152" s="6">
        <v>1979</v>
      </c>
      <c r="AA152">
        <v>4</v>
      </c>
    </row>
    <row r="153" spans="1:27" x14ac:dyDescent="0.25">
      <c r="A153" t="s">
        <v>176</v>
      </c>
      <c r="B153" t="s">
        <v>79</v>
      </c>
      <c r="C153" t="s">
        <v>221</v>
      </c>
      <c r="D153" t="s">
        <v>6</v>
      </c>
      <c r="E153">
        <v>7</v>
      </c>
      <c r="F153" t="s">
        <v>92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4</v>
      </c>
    </row>
    <row r="154" spans="1:27" x14ac:dyDescent="0.25">
      <c r="A154" t="s">
        <v>176</v>
      </c>
      <c r="B154" t="s">
        <v>79</v>
      </c>
      <c r="C154" t="s">
        <v>177</v>
      </c>
      <c r="D154" t="s">
        <v>3</v>
      </c>
      <c r="E154">
        <v>5</v>
      </c>
      <c r="F154" t="s">
        <v>81</v>
      </c>
      <c r="G154">
        <v>763.5</v>
      </c>
      <c r="H154">
        <v>58.73</v>
      </c>
      <c r="I154">
        <v>13</v>
      </c>
      <c r="J154">
        <v>10</v>
      </c>
      <c r="K154">
        <v>3</v>
      </c>
      <c r="L154">
        <v>529</v>
      </c>
      <c r="M154">
        <v>173</v>
      </c>
      <c r="N154">
        <v>2</v>
      </c>
      <c r="O154">
        <v>108</v>
      </c>
      <c r="P154">
        <v>15</v>
      </c>
      <c r="Q154">
        <v>1</v>
      </c>
      <c r="R154">
        <v>1</v>
      </c>
      <c r="S154">
        <v>2</v>
      </c>
      <c r="T154">
        <v>1</v>
      </c>
      <c r="U154">
        <v>1</v>
      </c>
      <c r="V154">
        <v>0</v>
      </c>
      <c r="W154">
        <v>0</v>
      </c>
      <c r="X154">
        <v>43.8</v>
      </c>
      <c r="Y154">
        <v>70.52</v>
      </c>
      <c r="Z154">
        <v>567</v>
      </c>
      <c r="AA154">
        <v>5</v>
      </c>
    </row>
    <row r="155" spans="1:27" x14ac:dyDescent="0.25">
      <c r="A155" t="s">
        <v>186</v>
      </c>
      <c r="B155" t="s">
        <v>79</v>
      </c>
      <c r="C155" t="s">
        <v>187</v>
      </c>
      <c r="D155" t="s">
        <v>3</v>
      </c>
      <c r="E155">
        <v>12</v>
      </c>
      <c r="F155" t="s">
        <v>103</v>
      </c>
      <c r="G155">
        <v>49</v>
      </c>
      <c r="H155">
        <v>24.5</v>
      </c>
      <c r="I155">
        <v>2</v>
      </c>
      <c r="J155">
        <v>0</v>
      </c>
      <c r="K155">
        <v>2</v>
      </c>
      <c r="L155">
        <v>51</v>
      </c>
      <c r="M155">
        <v>10</v>
      </c>
      <c r="N155">
        <v>0</v>
      </c>
      <c r="O155">
        <v>9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75.5</v>
      </c>
      <c r="Y155">
        <v>71.25</v>
      </c>
      <c r="Z155">
        <v>0</v>
      </c>
      <c r="AA155">
        <v>5</v>
      </c>
    </row>
    <row r="156" spans="1:27" x14ac:dyDescent="0.25">
      <c r="A156" t="s">
        <v>385</v>
      </c>
      <c r="B156" t="s">
        <v>79</v>
      </c>
      <c r="C156" t="s">
        <v>386</v>
      </c>
      <c r="D156" t="s">
        <v>3</v>
      </c>
      <c r="E156">
        <v>16</v>
      </c>
      <c r="F156" t="s">
        <v>92</v>
      </c>
      <c r="G156">
        <v>70</v>
      </c>
      <c r="H156">
        <v>70</v>
      </c>
      <c r="I156">
        <v>1</v>
      </c>
      <c r="J156">
        <v>1</v>
      </c>
      <c r="K156">
        <v>0</v>
      </c>
      <c r="L156">
        <v>45</v>
      </c>
      <c r="M156">
        <v>12</v>
      </c>
      <c r="N156">
        <v>2</v>
      </c>
      <c r="O156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35</v>
      </c>
      <c r="Y156">
        <v>69.25</v>
      </c>
      <c r="Z156">
        <v>18</v>
      </c>
      <c r="AA156">
        <v>5</v>
      </c>
    </row>
    <row r="157" spans="1:27" x14ac:dyDescent="0.25">
      <c r="A157" t="s">
        <v>174</v>
      </c>
      <c r="B157" t="s">
        <v>79</v>
      </c>
      <c r="C157" t="s">
        <v>175</v>
      </c>
      <c r="D157" t="s">
        <v>3</v>
      </c>
      <c r="E157">
        <v>2</v>
      </c>
      <c r="F157" t="s">
        <v>92</v>
      </c>
      <c r="G157">
        <v>605.5</v>
      </c>
      <c r="H157">
        <v>55.05</v>
      </c>
      <c r="I157">
        <v>11</v>
      </c>
      <c r="J157">
        <v>7</v>
      </c>
      <c r="K157">
        <v>4</v>
      </c>
      <c r="L157">
        <v>386</v>
      </c>
      <c r="M157">
        <v>137</v>
      </c>
      <c r="N157">
        <v>3</v>
      </c>
      <c r="O157">
        <v>95</v>
      </c>
      <c r="P157">
        <v>8</v>
      </c>
      <c r="Q157">
        <v>1</v>
      </c>
      <c r="R157">
        <v>1</v>
      </c>
      <c r="S157">
        <v>2</v>
      </c>
      <c r="T157">
        <v>2</v>
      </c>
      <c r="U157">
        <v>0</v>
      </c>
      <c r="V157">
        <v>0</v>
      </c>
      <c r="W157">
        <v>0</v>
      </c>
      <c r="X157">
        <v>43.8</v>
      </c>
      <c r="Y157">
        <v>70.510000000000005</v>
      </c>
      <c r="Z157">
        <v>270</v>
      </c>
      <c r="AA157">
        <v>5</v>
      </c>
    </row>
    <row r="158" spans="1:27" x14ac:dyDescent="0.25">
      <c r="A158" t="s">
        <v>168</v>
      </c>
      <c r="B158" t="s">
        <v>79</v>
      </c>
      <c r="C158" t="s">
        <v>169</v>
      </c>
      <c r="D158" t="s">
        <v>3</v>
      </c>
      <c r="E158">
        <v>4</v>
      </c>
      <c r="F158" t="s">
        <v>81</v>
      </c>
      <c r="G158">
        <v>1016.5</v>
      </c>
      <c r="H158">
        <v>63.53</v>
      </c>
      <c r="I158">
        <v>16</v>
      </c>
      <c r="J158">
        <v>14</v>
      </c>
      <c r="K158">
        <v>2</v>
      </c>
      <c r="L158">
        <v>678</v>
      </c>
      <c r="M158">
        <v>224</v>
      </c>
      <c r="N158">
        <v>3</v>
      </c>
      <c r="O158">
        <v>139</v>
      </c>
      <c r="P158">
        <v>16</v>
      </c>
      <c r="Q158">
        <v>2</v>
      </c>
      <c r="R158">
        <v>2</v>
      </c>
      <c r="S158">
        <v>8</v>
      </c>
      <c r="T158">
        <v>2</v>
      </c>
      <c r="U158">
        <v>1</v>
      </c>
      <c r="V158">
        <v>1</v>
      </c>
      <c r="W158">
        <v>0</v>
      </c>
      <c r="X158">
        <v>32.799999999999997</v>
      </c>
      <c r="Y158">
        <v>70.19</v>
      </c>
      <c r="Z158" s="6">
        <v>1117</v>
      </c>
      <c r="AA158">
        <v>5</v>
      </c>
    </row>
    <row r="159" spans="1:27" x14ac:dyDescent="0.25">
      <c r="A159" t="s">
        <v>166</v>
      </c>
      <c r="B159" t="s">
        <v>79</v>
      </c>
      <c r="C159" t="s">
        <v>167</v>
      </c>
      <c r="D159" t="s">
        <v>3</v>
      </c>
      <c r="E159">
        <v>6</v>
      </c>
      <c r="F159" t="s">
        <v>81</v>
      </c>
      <c r="G159">
        <v>898</v>
      </c>
      <c r="H159">
        <v>59.87</v>
      </c>
      <c r="I159">
        <v>15</v>
      </c>
      <c r="J159">
        <v>12</v>
      </c>
      <c r="K159">
        <v>3</v>
      </c>
      <c r="L159">
        <v>617</v>
      </c>
      <c r="M159">
        <v>193</v>
      </c>
      <c r="N159">
        <v>6</v>
      </c>
      <c r="O159">
        <v>145</v>
      </c>
      <c r="P159">
        <v>10</v>
      </c>
      <c r="Q159">
        <v>1</v>
      </c>
      <c r="R159">
        <v>1</v>
      </c>
      <c r="S159">
        <v>7</v>
      </c>
      <c r="T159">
        <v>2</v>
      </c>
      <c r="U159">
        <v>0</v>
      </c>
      <c r="V159">
        <v>0</v>
      </c>
      <c r="W159">
        <v>0</v>
      </c>
      <c r="X159">
        <v>36.700000000000003</v>
      </c>
      <c r="Y159">
        <v>70.430000000000007</v>
      </c>
      <c r="Z159">
        <v>822</v>
      </c>
      <c r="AA159">
        <v>5</v>
      </c>
    </row>
    <row r="160" spans="1:27" x14ac:dyDescent="0.25">
      <c r="A160" t="s">
        <v>170</v>
      </c>
      <c r="B160" t="s">
        <v>79</v>
      </c>
      <c r="C160" t="s">
        <v>171</v>
      </c>
      <c r="D160" t="s">
        <v>3</v>
      </c>
      <c r="E160">
        <v>7</v>
      </c>
      <c r="F160" t="s">
        <v>92</v>
      </c>
      <c r="G160">
        <v>409.5</v>
      </c>
      <c r="H160">
        <v>68.25</v>
      </c>
      <c r="I160">
        <v>6</v>
      </c>
      <c r="J160">
        <v>6</v>
      </c>
      <c r="K160">
        <v>0</v>
      </c>
      <c r="L160">
        <v>276</v>
      </c>
      <c r="M160">
        <v>88</v>
      </c>
      <c r="N160">
        <v>1</v>
      </c>
      <c r="O160">
        <v>43</v>
      </c>
      <c r="P160">
        <v>5</v>
      </c>
      <c r="Q160">
        <v>1</v>
      </c>
      <c r="R160">
        <v>1</v>
      </c>
      <c r="S160">
        <v>3</v>
      </c>
      <c r="T160">
        <v>2</v>
      </c>
      <c r="U160">
        <v>0</v>
      </c>
      <c r="V160">
        <v>0</v>
      </c>
      <c r="W160">
        <v>0</v>
      </c>
      <c r="X160">
        <v>32.299999999999997</v>
      </c>
      <c r="Y160">
        <v>69.650000000000006</v>
      </c>
      <c r="Z160">
        <v>235</v>
      </c>
      <c r="AA160">
        <v>5</v>
      </c>
    </row>
    <row r="161" spans="1:27" x14ac:dyDescent="0.25">
      <c r="A161" t="s">
        <v>162</v>
      </c>
      <c r="B161" t="s">
        <v>79</v>
      </c>
      <c r="C161" t="s">
        <v>163</v>
      </c>
      <c r="D161" t="s">
        <v>3</v>
      </c>
      <c r="E161">
        <v>3</v>
      </c>
      <c r="F161" t="s">
        <v>81</v>
      </c>
      <c r="G161">
        <v>1018</v>
      </c>
      <c r="H161">
        <v>67.87</v>
      </c>
      <c r="I161">
        <v>15</v>
      </c>
      <c r="J161">
        <v>12</v>
      </c>
      <c r="K161">
        <v>3</v>
      </c>
      <c r="L161">
        <v>587</v>
      </c>
      <c r="M161">
        <v>217</v>
      </c>
      <c r="N161">
        <v>10</v>
      </c>
      <c r="O161">
        <v>115</v>
      </c>
      <c r="P161">
        <v>23</v>
      </c>
      <c r="Q161">
        <v>2</v>
      </c>
      <c r="R161">
        <v>2</v>
      </c>
      <c r="S161">
        <v>8</v>
      </c>
      <c r="T161">
        <v>6</v>
      </c>
      <c r="U161">
        <v>1</v>
      </c>
      <c r="V161">
        <v>1</v>
      </c>
      <c r="W161">
        <v>0</v>
      </c>
      <c r="X161">
        <v>31.1</v>
      </c>
      <c r="Y161">
        <v>69.849999999999994</v>
      </c>
      <c r="Z161" s="6">
        <v>1155</v>
      </c>
      <c r="AA161">
        <v>5</v>
      </c>
    </row>
    <row r="162" spans="1:27" x14ac:dyDescent="0.25">
      <c r="A162" t="s">
        <v>144</v>
      </c>
      <c r="B162" t="s">
        <v>79</v>
      </c>
      <c r="C162" t="s">
        <v>145</v>
      </c>
      <c r="D162" t="s">
        <v>3</v>
      </c>
      <c r="E162">
        <v>16</v>
      </c>
      <c r="F162" t="s">
        <v>81</v>
      </c>
      <c r="G162">
        <v>88</v>
      </c>
      <c r="H162">
        <v>44</v>
      </c>
      <c r="I162">
        <v>2</v>
      </c>
      <c r="J162">
        <v>1</v>
      </c>
      <c r="K162">
        <v>1</v>
      </c>
      <c r="L162">
        <v>72</v>
      </c>
      <c r="M162">
        <v>19</v>
      </c>
      <c r="N162">
        <v>0</v>
      </c>
      <c r="O162">
        <v>14</v>
      </c>
      <c r="P162">
        <v>2</v>
      </c>
      <c r="Q162">
        <v>1</v>
      </c>
      <c r="R162">
        <v>1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43</v>
      </c>
      <c r="Y162">
        <v>71</v>
      </c>
      <c r="Z162">
        <v>110</v>
      </c>
      <c r="AA162">
        <v>5</v>
      </c>
    </row>
    <row r="163" spans="1:27" x14ac:dyDescent="0.25">
      <c r="A163" t="s">
        <v>190</v>
      </c>
      <c r="B163" t="s">
        <v>79</v>
      </c>
      <c r="C163" t="s">
        <v>191</v>
      </c>
      <c r="D163" t="s">
        <v>3</v>
      </c>
      <c r="E163">
        <v>15</v>
      </c>
      <c r="F163" t="s">
        <v>103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5</v>
      </c>
    </row>
    <row r="164" spans="1:27" x14ac:dyDescent="0.25">
      <c r="A164" t="s">
        <v>184</v>
      </c>
      <c r="B164" t="s">
        <v>79</v>
      </c>
      <c r="C164" t="s">
        <v>185</v>
      </c>
      <c r="D164" t="s">
        <v>3</v>
      </c>
      <c r="E164">
        <v>11</v>
      </c>
      <c r="F164" t="s">
        <v>103</v>
      </c>
      <c r="G164">
        <v>107</v>
      </c>
      <c r="H164">
        <v>35.67</v>
      </c>
      <c r="I164">
        <v>3</v>
      </c>
      <c r="J164">
        <v>1</v>
      </c>
      <c r="K164">
        <v>2</v>
      </c>
      <c r="L164">
        <v>93</v>
      </c>
      <c r="M164">
        <v>25</v>
      </c>
      <c r="N164">
        <v>0</v>
      </c>
      <c r="O164">
        <v>23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66.3</v>
      </c>
      <c r="Y164">
        <v>71.75</v>
      </c>
      <c r="Z164">
        <v>7</v>
      </c>
      <c r="AA164">
        <v>5</v>
      </c>
    </row>
    <row r="165" spans="1:27" x14ac:dyDescent="0.25">
      <c r="A165" t="s">
        <v>164</v>
      </c>
      <c r="B165" t="s">
        <v>79</v>
      </c>
      <c r="C165" t="s">
        <v>165</v>
      </c>
      <c r="D165" t="s">
        <v>3</v>
      </c>
      <c r="E165">
        <v>1</v>
      </c>
      <c r="F165" t="s">
        <v>81</v>
      </c>
      <c r="G165">
        <v>1249.5</v>
      </c>
      <c r="H165">
        <v>89.25</v>
      </c>
      <c r="I165">
        <v>14</v>
      </c>
      <c r="J165">
        <v>14</v>
      </c>
      <c r="K165">
        <v>0</v>
      </c>
      <c r="L165">
        <v>639</v>
      </c>
      <c r="M165">
        <v>236</v>
      </c>
      <c r="N165">
        <v>10</v>
      </c>
      <c r="O165">
        <v>96</v>
      </c>
      <c r="P165">
        <v>8</v>
      </c>
      <c r="Q165">
        <v>1</v>
      </c>
      <c r="R165">
        <v>1</v>
      </c>
      <c r="S165">
        <v>13</v>
      </c>
      <c r="T165">
        <v>10</v>
      </c>
      <c r="U165">
        <v>6</v>
      </c>
      <c r="V165">
        <v>4</v>
      </c>
      <c r="W165">
        <v>1</v>
      </c>
      <c r="X165">
        <v>11.4</v>
      </c>
      <c r="Y165">
        <v>68.78</v>
      </c>
      <c r="Z165" s="6">
        <v>3079</v>
      </c>
      <c r="AA165">
        <v>5</v>
      </c>
    </row>
    <row r="166" spans="1:27" x14ac:dyDescent="0.25">
      <c r="A166" t="s">
        <v>172</v>
      </c>
      <c r="B166" t="s">
        <v>79</v>
      </c>
      <c r="C166" t="s">
        <v>173</v>
      </c>
      <c r="D166" t="s">
        <v>3</v>
      </c>
      <c r="E166">
        <v>10</v>
      </c>
      <c r="F166" t="s">
        <v>92</v>
      </c>
      <c r="G166">
        <v>585</v>
      </c>
      <c r="H166">
        <v>73.12</v>
      </c>
      <c r="I166">
        <v>8</v>
      </c>
      <c r="J166">
        <v>7</v>
      </c>
      <c r="K166">
        <v>1</v>
      </c>
      <c r="L166">
        <v>367</v>
      </c>
      <c r="M166">
        <v>126</v>
      </c>
      <c r="N166">
        <v>1</v>
      </c>
      <c r="O166">
        <v>59</v>
      </c>
      <c r="P166">
        <v>5</v>
      </c>
      <c r="Q166">
        <v>0</v>
      </c>
      <c r="R166">
        <v>0</v>
      </c>
      <c r="S166">
        <v>4</v>
      </c>
      <c r="T166">
        <v>2</v>
      </c>
      <c r="U166">
        <v>1</v>
      </c>
      <c r="V166">
        <v>1</v>
      </c>
      <c r="W166">
        <v>0</v>
      </c>
      <c r="X166">
        <v>29.1</v>
      </c>
      <c r="Y166">
        <v>69.19</v>
      </c>
      <c r="Z166">
        <v>409</v>
      </c>
      <c r="AA166">
        <v>5</v>
      </c>
    </row>
    <row r="167" spans="1:27" x14ac:dyDescent="0.25">
      <c r="A167" t="s">
        <v>178</v>
      </c>
      <c r="B167" t="s">
        <v>79</v>
      </c>
      <c r="C167" t="s">
        <v>179</v>
      </c>
      <c r="D167" t="s">
        <v>3</v>
      </c>
      <c r="E167">
        <v>8</v>
      </c>
      <c r="F167" t="s">
        <v>92</v>
      </c>
      <c r="G167">
        <v>607</v>
      </c>
      <c r="H167">
        <v>55.18</v>
      </c>
      <c r="I167">
        <v>11</v>
      </c>
      <c r="J167">
        <v>7</v>
      </c>
      <c r="K167">
        <v>4</v>
      </c>
      <c r="L167">
        <v>407</v>
      </c>
      <c r="M167">
        <v>140</v>
      </c>
      <c r="N167">
        <v>1</v>
      </c>
      <c r="O167">
        <v>107</v>
      </c>
      <c r="P167">
        <v>9</v>
      </c>
      <c r="Q167">
        <v>2</v>
      </c>
      <c r="R167">
        <v>2</v>
      </c>
      <c r="S167">
        <v>3</v>
      </c>
      <c r="T167">
        <v>1</v>
      </c>
      <c r="U167">
        <v>1</v>
      </c>
      <c r="V167">
        <v>1</v>
      </c>
      <c r="W167">
        <v>0</v>
      </c>
      <c r="X167">
        <v>43.8</v>
      </c>
      <c r="Y167">
        <v>70.489999999999995</v>
      </c>
      <c r="Z167">
        <v>397</v>
      </c>
      <c r="AA167">
        <v>5</v>
      </c>
    </row>
    <row r="168" spans="1:27" x14ac:dyDescent="0.25">
      <c r="A168" t="s">
        <v>182</v>
      </c>
      <c r="B168" t="s">
        <v>79</v>
      </c>
      <c r="C168" t="s">
        <v>183</v>
      </c>
      <c r="D168" t="s">
        <v>3</v>
      </c>
      <c r="E168">
        <v>16</v>
      </c>
      <c r="F168" t="s">
        <v>92</v>
      </c>
      <c r="G168">
        <v>223.5</v>
      </c>
      <c r="H168">
        <v>44.7</v>
      </c>
      <c r="I168">
        <v>5</v>
      </c>
      <c r="J168">
        <v>2</v>
      </c>
      <c r="K168">
        <v>3</v>
      </c>
      <c r="L168">
        <v>166</v>
      </c>
      <c r="M168">
        <v>49</v>
      </c>
      <c r="N168">
        <v>1</v>
      </c>
      <c r="O168">
        <v>33</v>
      </c>
      <c r="P168">
        <v>2</v>
      </c>
      <c r="Q168">
        <v>1</v>
      </c>
      <c r="R168">
        <v>1</v>
      </c>
      <c r="S168">
        <v>1</v>
      </c>
      <c r="T168">
        <v>0</v>
      </c>
      <c r="U168">
        <v>0</v>
      </c>
      <c r="V168">
        <v>0</v>
      </c>
      <c r="W168">
        <v>0</v>
      </c>
      <c r="X168">
        <v>58</v>
      </c>
      <c r="Y168">
        <v>70.430000000000007</v>
      </c>
      <c r="Z168">
        <v>47</v>
      </c>
      <c r="AA168">
        <v>5</v>
      </c>
    </row>
    <row r="169" spans="1:27" x14ac:dyDescent="0.25">
      <c r="A169" t="s">
        <v>160</v>
      </c>
      <c r="B169" t="s">
        <v>79</v>
      </c>
      <c r="C169" t="s">
        <v>161</v>
      </c>
      <c r="D169" t="s">
        <v>3</v>
      </c>
      <c r="E169">
        <v>9</v>
      </c>
      <c r="F169" t="s">
        <v>92</v>
      </c>
      <c r="G169">
        <v>570.5</v>
      </c>
      <c r="H169">
        <v>57.05</v>
      </c>
      <c r="I169">
        <v>10</v>
      </c>
      <c r="J169">
        <v>7</v>
      </c>
      <c r="K169">
        <v>3</v>
      </c>
      <c r="L169">
        <v>390</v>
      </c>
      <c r="M169">
        <v>128</v>
      </c>
      <c r="N169">
        <v>2</v>
      </c>
      <c r="O169">
        <v>65</v>
      </c>
      <c r="P169">
        <v>8</v>
      </c>
      <c r="Q169">
        <v>1</v>
      </c>
      <c r="R169">
        <v>1</v>
      </c>
      <c r="S169">
        <v>2</v>
      </c>
      <c r="T169">
        <v>0</v>
      </c>
      <c r="U169">
        <v>0</v>
      </c>
      <c r="V169">
        <v>0</v>
      </c>
      <c r="W169">
        <v>0</v>
      </c>
      <c r="X169">
        <v>48.2</v>
      </c>
      <c r="Y169">
        <v>69.819999999999993</v>
      </c>
      <c r="Z169">
        <v>163</v>
      </c>
      <c r="AA169">
        <v>5</v>
      </c>
    </row>
    <row r="170" spans="1:27" x14ac:dyDescent="0.25">
      <c r="A170" t="s">
        <v>372</v>
      </c>
      <c r="B170" t="s">
        <v>79</v>
      </c>
      <c r="C170" t="s">
        <v>373</v>
      </c>
      <c r="D170" t="s">
        <v>3</v>
      </c>
      <c r="E170">
        <v>16</v>
      </c>
      <c r="F170" t="s">
        <v>92</v>
      </c>
      <c r="G170">
        <v>168</v>
      </c>
      <c r="H170">
        <v>42</v>
      </c>
      <c r="I170">
        <v>4</v>
      </c>
      <c r="J170">
        <v>2</v>
      </c>
      <c r="K170">
        <v>2</v>
      </c>
      <c r="L170">
        <v>144</v>
      </c>
      <c r="M170">
        <v>38</v>
      </c>
      <c r="N170">
        <v>0</v>
      </c>
      <c r="O170">
        <v>30</v>
      </c>
      <c r="P170">
        <v>4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65.3</v>
      </c>
      <c r="Y170">
        <v>71.17</v>
      </c>
      <c r="Z170">
        <v>12</v>
      </c>
      <c r="AA170">
        <v>5</v>
      </c>
    </row>
    <row r="171" spans="1:27" x14ac:dyDescent="0.25">
      <c r="A171" t="s">
        <v>344</v>
      </c>
      <c r="B171" t="s">
        <v>79</v>
      </c>
      <c r="C171" t="s">
        <v>345</v>
      </c>
      <c r="D171" t="s">
        <v>3</v>
      </c>
      <c r="E171">
        <v>16</v>
      </c>
      <c r="F171" t="s">
        <v>92</v>
      </c>
      <c r="G171">
        <v>36.5</v>
      </c>
      <c r="H171">
        <v>36.5</v>
      </c>
      <c r="I171">
        <v>1</v>
      </c>
      <c r="J171">
        <v>0</v>
      </c>
      <c r="K171">
        <v>1</v>
      </c>
      <c r="L171">
        <v>23</v>
      </c>
      <c r="M171">
        <v>9</v>
      </c>
      <c r="N171">
        <v>0</v>
      </c>
      <c r="O171">
        <v>4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66</v>
      </c>
      <c r="Y171">
        <v>68.5</v>
      </c>
      <c r="Z171">
        <v>0</v>
      </c>
      <c r="AA171">
        <v>5</v>
      </c>
    </row>
    <row r="172" spans="1:27" x14ac:dyDescent="0.25">
      <c r="A172" t="s">
        <v>180</v>
      </c>
      <c r="B172" t="s">
        <v>79</v>
      </c>
      <c r="C172" t="s">
        <v>181</v>
      </c>
      <c r="D172" t="s">
        <v>3</v>
      </c>
      <c r="E172">
        <v>14</v>
      </c>
      <c r="F172" t="s">
        <v>103</v>
      </c>
      <c r="G172">
        <v>111</v>
      </c>
      <c r="H172">
        <v>55.5</v>
      </c>
      <c r="I172">
        <v>2</v>
      </c>
      <c r="J172">
        <v>1</v>
      </c>
      <c r="K172">
        <v>1</v>
      </c>
      <c r="L172">
        <v>63</v>
      </c>
      <c r="M172">
        <v>26</v>
      </c>
      <c r="N172">
        <v>1</v>
      </c>
      <c r="O172">
        <v>17</v>
      </c>
      <c r="P172">
        <v>1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47</v>
      </c>
      <c r="Y172">
        <v>69.5</v>
      </c>
      <c r="Z172">
        <v>27</v>
      </c>
      <c r="AA172">
        <v>5</v>
      </c>
    </row>
    <row r="173" spans="1:27" x14ac:dyDescent="0.25">
      <c r="A173" t="s">
        <v>188</v>
      </c>
      <c r="B173" t="s">
        <v>79</v>
      </c>
      <c r="C173" t="s">
        <v>189</v>
      </c>
      <c r="D173" t="s">
        <v>3</v>
      </c>
      <c r="E173">
        <v>13</v>
      </c>
      <c r="F173" t="s">
        <v>103</v>
      </c>
      <c r="G173">
        <v>20.5</v>
      </c>
      <c r="H173">
        <v>20.5</v>
      </c>
      <c r="I173">
        <v>1</v>
      </c>
      <c r="J173">
        <v>0</v>
      </c>
      <c r="K173">
        <v>1</v>
      </c>
      <c r="L173">
        <v>25</v>
      </c>
      <c r="M173">
        <v>4</v>
      </c>
      <c r="N173">
        <v>0</v>
      </c>
      <c r="O173">
        <v>6</v>
      </c>
      <c r="P173">
        <v>0</v>
      </c>
      <c r="Q173">
        <v>1</v>
      </c>
      <c r="R173">
        <v>1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69</v>
      </c>
      <c r="Y173">
        <v>73.5</v>
      </c>
      <c r="Z173">
        <v>0</v>
      </c>
      <c r="AA173">
        <v>5</v>
      </c>
    </row>
  </sheetData>
  <autoFilter ref="A1:Z173" xr:uid="{DE44CC28-F2F8-4E9B-AEFD-962365C51F8C}"/>
  <sortState xmlns:xlrd2="http://schemas.microsoft.com/office/spreadsheetml/2017/richdata2" ref="A2:AA171">
    <sortCondition descending="1" ref="D2:D171"/>
    <sortCondition ref="A2:A171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A378-23E2-46D2-BE35-18D1A6AD463B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277</v>
      </c>
      <c r="D2">
        <v>84</v>
      </c>
      <c r="E2">
        <v>0</v>
      </c>
      <c r="F2">
        <v>68</v>
      </c>
      <c r="G2">
        <v>3</v>
      </c>
      <c r="H2">
        <v>0</v>
      </c>
      <c r="I2">
        <v>0</v>
      </c>
      <c r="J2">
        <v>0</v>
      </c>
      <c r="K2">
        <v>162</v>
      </c>
      <c r="L2">
        <v>1</v>
      </c>
      <c r="M2">
        <v>1</v>
      </c>
      <c r="N2" t="s">
        <v>6</v>
      </c>
    </row>
    <row r="3" spans="1:14" x14ac:dyDescent="0.25">
      <c r="A3" t="s">
        <v>0</v>
      </c>
      <c r="B3">
        <v>6</v>
      </c>
      <c r="C3">
        <v>272</v>
      </c>
      <c r="D3">
        <v>68</v>
      </c>
      <c r="E3">
        <v>0</v>
      </c>
      <c r="F3">
        <v>49</v>
      </c>
      <c r="G3">
        <v>6</v>
      </c>
      <c r="H3">
        <v>0</v>
      </c>
      <c r="I3">
        <v>0</v>
      </c>
      <c r="J3">
        <v>1</v>
      </c>
      <c r="K3">
        <v>208</v>
      </c>
      <c r="L3">
        <v>1</v>
      </c>
      <c r="M3">
        <v>1</v>
      </c>
      <c r="N3" t="s">
        <v>7</v>
      </c>
    </row>
    <row r="4" spans="1:14" x14ac:dyDescent="0.25">
      <c r="A4" t="s">
        <v>7</v>
      </c>
      <c r="B4">
        <v>6</v>
      </c>
      <c r="C4">
        <v>301</v>
      </c>
      <c r="D4">
        <v>63</v>
      </c>
      <c r="E4">
        <v>1</v>
      </c>
      <c r="F4">
        <v>63</v>
      </c>
      <c r="G4">
        <v>4</v>
      </c>
      <c r="H4">
        <v>0</v>
      </c>
      <c r="I4">
        <v>0</v>
      </c>
      <c r="J4">
        <v>0</v>
      </c>
      <c r="K4">
        <v>208</v>
      </c>
      <c r="L4">
        <v>1</v>
      </c>
      <c r="M4">
        <v>0</v>
      </c>
      <c r="N4" t="s">
        <v>0</v>
      </c>
    </row>
    <row r="5" spans="1:14" x14ac:dyDescent="0.25">
      <c r="A5" t="s">
        <v>3</v>
      </c>
      <c r="B5">
        <v>6</v>
      </c>
      <c r="C5">
        <v>273</v>
      </c>
      <c r="D5">
        <v>60</v>
      </c>
      <c r="E5">
        <v>0</v>
      </c>
      <c r="F5">
        <v>58</v>
      </c>
      <c r="G5">
        <v>4</v>
      </c>
      <c r="H5">
        <v>0</v>
      </c>
      <c r="I5">
        <v>0</v>
      </c>
      <c r="J5">
        <v>1</v>
      </c>
      <c r="K5">
        <v>266</v>
      </c>
      <c r="L5">
        <v>1</v>
      </c>
      <c r="M5">
        <v>1</v>
      </c>
      <c r="N5" t="s">
        <v>2</v>
      </c>
    </row>
    <row r="6" spans="1:14" x14ac:dyDescent="0.25">
      <c r="A6" t="s">
        <v>5</v>
      </c>
      <c r="B6">
        <v>6</v>
      </c>
      <c r="C6">
        <v>225</v>
      </c>
      <c r="D6">
        <v>44</v>
      </c>
      <c r="E6">
        <v>1</v>
      </c>
      <c r="F6">
        <v>47</v>
      </c>
      <c r="G6">
        <v>6</v>
      </c>
      <c r="H6">
        <v>0</v>
      </c>
      <c r="I6">
        <v>0</v>
      </c>
      <c r="J6">
        <v>1</v>
      </c>
      <c r="K6">
        <v>318</v>
      </c>
      <c r="L6">
        <v>1</v>
      </c>
      <c r="M6">
        <v>1</v>
      </c>
      <c r="N6" t="s">
        <v>1</v>
      </c>
    </row>
    <row r="7" spans="1:14" x14ac:dyDescent="0.25">
      <c r="A7" t="s">
        <v>6</v>
      </c>
      <c r="B7">
        <v>6</v>
      </c>
      <c r="C7">
        <v>186</v>
      </c>
      <c r="D7">
        <v>44</v>
      </c>
      <c r="E7">
        <v>2</v>
      </c>
      <c r="F7">
        <v>50</v>
      </c>
      <c r="G7">
        <v>5</v>
      </c>
      <c r="H7">
        <v>0</v>
      </c>
      <c r="I7">
        <v>0</v>
      </c>
      <c r="J7">
        <v>1</v>
      </c>
      <c r="K7">
        <v>349</v>
      </c>
      <c r="L7">
        <v>1</v>
      </c>
      <c r="M7">
        <v>0</v>
      </c>
      <c r="N7" t="s">
        <v>4</v>
      </c>
    </row>
    <row r="8" spans="1:14" x14ac:dyDescent="0.25">
      <c r="A8" t="s">
        <v>1</v>
      </c>
      <c r="B8">
        <v>5</v>
      </c>
      <c r="C8">
        <v>164</v>
      </c>
      <c r="D8">
        <v>41</v>
      </c>
      <c r="E8">
        <v>0</v>
      </c>
      <c r="F8">
        <v>45</v>
      </c>
      <c r="G8">
        <v>2</v>
      </c>
      <c r="H8">
        <v>0</v>
      </c>
      <c r="I8">
        <v>0</v>
      </c>
      <c r="J8">
        <v>0</v>
      </c>
      <c r="K8">
        <v>264</v>
      </c>
      <c r="L8">
        <v>1</v>
      </c>
      <c r="M8">
        <v>0</v>
      </c>
      <c r="N8" t="s">
        <v>5</v>
      </c>
    </row>
    <row r="9" spans="1:14" x14ac:dyDescent="0.25">
      <c r="A9" t="s">
        <v>2</v>
      </c>
      <c r="B9">
        <v>5</v>
      </c>
      <c r="C9">
        <v>182</v>
      </c>
      <c r="D9">
        <v>29</v>
      </c>
      <c r="E9">
        <v>1</v>
      </c>
      <c r="F9">
        <v>38</v>
      </c>
      <c r="G9">
        <v>2</v>
      </c>
      <c r="H9">
        <v>0</v>
      </c>
      <c r="I9">
        <v>0</v>
      </c>
      <c r="J9">
        <v>0</v>
      </c>
      <c r="K9">
        <v>283</v>
      </c>
      <c r="L9">
        <v>1</v>
      </c>
      <c r="M9">
        <v>0</v>
      </c>
      <c r="N9" t="s"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646C-721D-4964-9318-8EC6CB5130CF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252</v>
      </c>
      <c r="D2">
        <v>90</v>
      </c>
      <c r="E2">
        <v>0</v>
      </c>
      <c r="F2">
        <v>48</v>
      </c>
      <c r="G2">
        <v>6</v>
      </c>
      <c r="H2">
        <v>0</v>
      </c>
      <c r="I2">
        <v>0</v>
      </c>
      <c r="J2">
        <v>0</v>
      </c>
      <c r="K2">
        <v>193</v>
      </c>
      <c r="L2">
        <v>1</v>
      </c>
      <c r="M2">
        <v>1</v>
      </c>
      <c r="N2" t="s">
        <v>7</v>
      </c>
    </row>
    <row r="3" spans="1:14" x14ac:dyDescent="0.25">
      <c r="A3" t="s">
        <v>4</v>
      </c>
      <c r="B3">
        <v>6</v>
      </c>
      <c r="C3">
        <v>223</v>
      </c>
      <c r="D3">
        <v>81</v>
      </c>
      <c r="E3">
        <v>2</v>
      </c>
      <c r="F3">
        <v>53</v>
      </c>
      <c r="G3">
        <v>1</v>
      </c>
      <c r="H3">
        <v>0</v>
      </c>
      <c r="I3">
        <v>0</v>
      </c>
      <c r="J3">
        <v>0</v>
      </c>
      <c r="K3">
        <v>200</v>
      </c>
      <c r="L3">
        <v>1</v>
      </c>
      <c r="M3">
        <v>1</v>
      </c>
      <c r="N3" t="s">
        <v>0</v>
      </c>
    </row>
    <row r="4" spans="1:14" x14ac:dyDescent="0.25">
      <c r="A4" t="s">
        <v>6</v>
      </c>
      <c r="B4">
        <v>6</v>
      </c>
      <c r="C4">
        <v>212</v>
      </c>
      <c r="D4">
        <v>77</v>
      </c>
      <c r="E4">
        <v>3</v>
      </c>
      <c r="F4">
        <v>64</v>
      </c>
      <c r="G4">
        <v>4</v>
      </c>
      <c r="H4">
        <v>0</v>
      </c>
      <c r="I4">
        <v>0</v>
      </c>
      <c r="J4">
        <v>0</v>
      </c>
      <c r="K4">
        <v>305</v>
      </c>
      <c r="L4">
        <v>1</v>
      </c>
      <c r="M4">
        <v>1</v>
      </c>
      <c r="N4" t="s">
        <v>2</v>
      </c>
    </row>
    <row r="5" spans="1:14" x14ac:dyDescent="0.25">
      <c r="A5" t="s">
        <v>2</v>
      </c>
      <c r="B5">
        <v>5</v>
      </c>
      <c r="C5">
        <v>187</v>
      </c>
      <c r="D5">
        <v>58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207</v>
      </c>
      <c r="L5">
        <v>1</v>
      </c>
      <c r="M5">
        <v>0</v>
      </c>
      <c r="N5" t="s">
        <v>6</v>
      </c>
    </row>
    <row r="6" spans="1:14" x14ac:dyDescent="0.25">
      <c r="A6" t="s">
        <v>0</v>
      </c>
      <c r="B6">
        <v>6</v>
      </c>
      <c r="C6">
        <v>195</v>
      </c>
      <c r="D6">
        <v>64</v>
      </c>
      <c r="E6">
        <v>2</v>
      </c>
      <c r="F6">
        <v>60</v>
      </c>
      <c r="G6">
        <v>3</v>
      </c>
      <c r="H6">
        <v>0</v>
      </c>
      <c r="I6">
        <v>0</v>
      </c>
      <c r="J6">
        <v>0</v>
      </c>
      <c r="K6">
        <v>290</v>
      </c>
      <c r="L6">
        <v>1</v>
      </c>
      <c r="M6">
        <v>0</v>
      </c>
      <c r="N6" t="s">
        <v>4</v>
      </c>
    </row>
    <row r="7" spans="1:14" x14ac:dyDescent="0.25">
      <c r="A7" t="s">
        <v>3</v>
      </c>
      <c r="B7">
        <v>4</v>
      </c>
      <c r="C7">
        <v>168</v>
      </c>
      <c r="D7">
        <v>43</v>
      </c>
      <c r="E7">
        <v>6</v>
      </c>
      <c r="F7">
        <v>33</v>
      </c>
      <c r="G7">
        <v>1</v>
      </c>
      <c r="H7">
        <v>0</v>
      </c>
      <c r="I7">
        <v>0</v>
      </c>
      <c r="J7">
        <v>1</v>
      </c>
      <c r="K7">
        <v>129</v>
      </c>
      <c r="L7">
        <v>1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183</v>
      </c>
      <c r="D8">
        <v>50</v>
      </c>
      <c r="E8">
        <v>2</v>
      </c>
      <c r="F8">
        <v>48</v>
      </c>
      <c r="G8">
        <v>5</v>
      </c>
      <c r="H8">
        <v>0</v>
      </c>
      <c r="I8">
        <v>0</v>
      </c>
      <c r="J8">
        <v>0</v>
      </c>
      <c r="K8">
        <v>318</v>
      </c>
      <c r="L8">
        <v>1</v>
      </c>
      <c r="M8">
        <v>0</v>
      </c>
      <c r="N8" t="s">
        <v>3</v>
      </c>
    </row>
    <row r="9" spans="1:14" x14ac:dyDescent="0.25">
      <c r="A9" t="s">
        <v>7</v>
      </c>
      <c r="B9">
        <v>3</v>
      </c>
      <c r="C9">
        <v>127</v>
      </c>
      <c r="D9">
        <v>25</v>
      </c>
      <c r="E9">
        <v>1</v>
      </c>
      <c r="F9">
        <v>26</v>
      </c>
      <c r="G9">
        <v>1</v>
      </c>
      <c r="H9">
        <v>0</v>
      </c>
      <c r="I9">
        <v>0</v>
      </c>
      <c r="J9">
        <v>0</v>
      </c>
      <c r="K9">
        <v>172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3790B-4F8C-485D-AEC2-B803711B47CB}">
  <dimension ref="A1:N9"/>
  <sheetViews>
    <sheetView workbookViewId="0">
      <selection activeCell="L9" sqref="A2:L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241</v>
      </c>
      <c r="D2">
        <v>73</v>
      </c>
      <c r="E2">
        <v>3</v>
      </c>
      <c r="F2">
        <v>70</v>
      </c>
      <c r="G2">
        <v>7</v>
      </c>
      <c r="H2">
        <v>0</v>
      </c>
      <c r="I2">
        <v>0</v>
      </c>
      <c r="J2">
        <v>2</v>
      </c>
      <c r="K2">
        <v>125</v>
      </c>
      <c r="L2">
        <v>1</v>
      </c>
      <c r="M2">
        <v>0</v>
      </c>
      <c r="N2" t="s">
        <v>3</v>
      </c>
    </row>
    <row r="3" spans="1:14" x14ac:dyDescent="0.25">
      <c r="A3" t="s">
        <v>4</v>
      </c>
      <c r="B3">
        <v>6</v>
      </c>
      <c r="C3">
        <v>257</v>
      </c>
      <c r="D3">
        <v>83</v>
      </c>
      <c r="E3">
        <v>2</v>
      </c>
      <c r="F3">
        <v>78</v>
      </c>
      <c r="G3">
        <v>9</v>
      </c>
      <c r="H3">
        <v>0</v>
      </c>
      <c r="I3">
        <v>0</v>
      </c>
      <c r="J3">
        <v>3</v>
      </c>
      <c r="K3">
        <v>142</v>
      </c>
      <c r="L3">
        <v>1</v>
      </c>
    </row>
    <row r="4" spans="1:14" x14ac:dyDescent="0.25">
      <c r="A4" t="s">
        <v>6</v>
      </c>
      <c r="B4">
        <v>6</v>
      </c>
      <c r="C4">
        <v>288</v>
      </c>
      <c r="D4">
        <v>64</v>
      </c>
      <c r="E4">
        <v>1</v>
      </c>
      <c r="F4">
        <v>73</v>
      </c>
      <c r="G4">
        <v>4</v>
      </c>
      <c r="H4">
        <v>0</v>
      </c>
      <c r="I4">
        <v>0</v>
      </c>
      <c r="J4">
        <v>2</v>
      </c>
      <c r="K4">
        <v>130</v>
      </c>
      <c r="L4">
        <v>1</v>
      </c>
    </row>
    <row r="5" spans="1:14" x14ac:dyDescent="0.25">
      <c r="A5" t="s">
        <v>1</v>
      </c>
      <c r="B5">
        <v>6</v>
      </c>
      <c r="C5">
        <v>231</v>
      </c>
      <c r="D5">
        <v>72</v>
      </c>
      <c r="E5">
        <v>2</v>
      </c>
      <c r="F5">
        <v>79</v>
      </c>
      <c r="G5">
        <v>11</v>
      </c>
      <c r="H5">
        <v>0</v>
      </c>
      <c r="I5">
        <v>0</v>
      </c>
      <c r="J5">
        <v>1</v>
      </c>
      <c r="K5">
        <v>171</v>
      </c>
      <c r="L5">
        <v>1</v>
      </c>
    </row>
    <row r="6" spans="1:14" x14ac:dyDescent="0.25">
      <c r="A6" t="s">
        <v>3</v>
      </c>
      <c r="B6">
        <v>6</v>
      </c>
      <c r="C6">
        <v>250</v>
      </c>
      <c r="D6">
        <v>60</v>
      </c>
      <c r="E6">
        <v>3</v>
      </c>
      <c r="F6">
        <v>74</v>
      </c>
      <c r="G6">
        <v>8</v>
      </c>
      <c r="H6">
        <v>0</v>
      </c>
      <c r="I6">
        <v>0</v>
      </c>
      <c r="J6">
        <v>1</v>
      </c>
      <c r="K6">
        <v>182</v>
      </c>
      <c r="L6">
        <v>1</v>
      </c>
    </row>
    <row r="7" spans="1:14" x14ac:dyDescent="0.25">
      <c r="A7" t="s">
        <v>5</v>
      </c>
      <c r="B7">
        <v>6</v>
      </c>
      <c r="C7">
        <v>228</v>
      </c>
      <c r="D7">
        <v>54</v>
      </c>
      <c r="E7">
        <v>1</v>
      </c>
      <c r="F7">
        <v>65</v>
      </c>
      <c r="G7">
        <v>10</v>
      </c>
      <c r="H7">
        <v>0</v>
      </c>
      <c r="I7">
        <v>0</v>
      </c>
      <c r="J7">
        <v>2</v>
      </c>
      <c r="K7">
        <v>206</v>
      </c>
      <c r="L7">
        <v>1</v>
      </c>
    </row>
    <row r="8" spans="1:14" x14ac:dyDescent="0.25">
      <c r="A8" t="s">
        <v>7</v>
      </c>
      <c r="B8">
        <v>6</v>
      </c>
      <c r="C8">
        <v>189</v>
      </c>
      <c r="D8">
        <v>61</v>
      </c>
      <c r="E8">
        <v>0</v>
      </c>
      <c r="F8">
        <v>61</v>
      </c>
      <c r="G8">
        <v>11</v>
      </c>
      <c r="H8">
        <v>0</v>
      </c>
      <c r="I8">
        <v>0</v>
      </c>
      <c r="J8">
        <v>2</v>
      </c>
      <c r="K8">
        <v>191</v>
      </c>
      <c r="L8">
        <v>1</v>
      </c>
    </row>
    <row r="9" spans="1:14" x14ac:dyDescent="0.25">
      <c r="A9" t="s">
        <v>2</v>
      </c>
      <c r="B9">
        <v>6</v>
      </c>
      <c r="C9">
        <v>168</v>
      </c>
      <c r="D9">
        <v>46</v>
      </c>
      <c r="E9">
        <v>1</v>
      </c>
      <c r="F9">
        <v>60</v>
      </c>
      <c r="G9">
        <v>11</v>
      </c>
      <c r="H9">
        <v>0</v>
      </c>
      <c r="I9">
        <v>0</v>
      </c>
      <c r="J9">
        <v>2</v>
      </c>
      <c r="K9">
        <v>268</v>
      </c>
      <c r="L9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A879-621C-4BF5-B8B8-B45BB842E6A5}">
  <dimension ref="A1:N9"/>
  <sheetViews>
    <sheetView workbookViewId="0">
      <selection activeCell="A2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271</v>
      </c>
      <c r="D2">
        <v>58</v>
      </c>
      <c r="E2">
        <v>2</v>
      </c>
      <c r="F2">
        <v>58</v>
      </c>
      <c r="G2">
        <v>7</v>
      </c>
      <c r="H2">
        <v>0</v>
      </c>
      <c r="I2">
        <v>0</v>
      </c>
      <c r="J2">
        <v>0</v>
      </c>
      <c r="K2">
        <v>127</v>
      </c>
      <c r="L2">
        <v>1</v>
      </c>
    </row>
    <row r="3" spans="1:14" x14ac:dyDescent="0.25">
      <c r="A3" t="s">
        <v>4</v>
      </c>
      <c r="B3">
        <v>6</v>
      </c>
      <c r="C3">
        <v>240</v>
      </c>
      <c r="D3">
        <v>67</v>
      </c>
      <c r="E3">
        <v>0</v>
      </c>
      <c r="F3">
        <v>81</v>
      </c>
      <c r="G3">
        <v>7</v>
      </c>
      <c r="H3">
        <v>0</v>
      </c>
      <c r="I3">
        <v>0</v>
      </c>
      <c r="J3">
        <v>1</v>
      </c>
      <c r="K3">
        <v>209</v>
      </c>
      <c r="L3">
        <v>1</v>
      </c>
    </row>
    <row r="4" spans="1:14" x14ac:dyDescent="0.25">
      <c r="A4" t="s">
        <v>3</v>
      </c>
      <c r="B4">
        <v>6</v>
      </c>
      <c r="C4">
        <v>249</v>
      </c>
      <c r="D4">
        <v>67</v>
      </c>
      <c r="E4">
        <v>0</v>
      </c>
      <c r="F4">
        <v>71</v>
      </c>
      <c r="G4">
        <v>9</v>
      </c>
      <c r="H4">
        <v>0</v>
      </c>
      <c r="I4">
        <v>0</v>
      </c>
      <c r="J4">
        <v>0</v>
      </c>
      <c r="K4">
        <v>164</v>
      </c>
      <c r="L4">
        <v>1</v>
      </c>
    </row>
    <row r="5" spans="1:14" x14ac:dyDescent="0.25">
      <c r="A5" t="s">
        <v>7</v>
      </c>
      <c r="B5">
        <v>6</v>
      </c>
      <c r="C5">
        <v>197</v>
      </c>
      <c r="D5">
        <v>52</v>
      </c>
      <c r="E5">
        <v>2</v>
      </c>
      <c r="F5">
        <v>65</v>
      </c>
      <c r="G5">
        <v>5</v>
      </c>
      <c r="H5">
        <v>0</v>
      </c>
      <c r="I5">
        <v>0</v>
      </c>
      <c r="J5">
        <v>3</v>
      </c>
      <c r="K5">
        <v>253</v>
      </c>
      <c r="L5">
        <v>1</v>
      </c>
    </row>
    <row r="6" spans="1:14" x14ac:dyDescent="0.25">
      <c r="A6" t="s">
        <v>6</v>
      </c>
      <c r="B6">
        <v>6</v>
      </c>
      <c r="C6">
        <v>254</v>
      </c>
      <c r="D6">
        <v>52</v>
      </c>
      <c r="E6">
        <v>2</v>
      </c>
      <c r="F6">
        <v>77</v>
      </c>
      <c r="G6">
        <v>6</v>
      </c>
      <c r="H6">
        <v>0</v>
      </c>
      <c r="I6">
        <v>1</v>
      </c>
      <c r="J6">
        <v>5</v>
      </c>
      <c r="K6">
        <v>255</v>
      </c>
      <c r="L6">
        <v>1</v>
      </c>
    </row>
    <row r="7" spans="1:14" x14ac:dyDescent="0.25">
      <c r="A7" t="s">
        <v>5</v>
      </c>
      <c r="B7">
        <v>6</v>
      </c>
      <c r="C7">
        <v>223</v>
      </c>
      <c r="D7">
        <v>51</v>
      </c>
      <c r="E7">
        <v>2</v>
      </c>
      <c r="F7">
        <v>79</v>
      </c>
      <c r="G7">
        <v>5</v>
      </c>
      <c r="H7">
        <v>0</v>
      </c>
      <c r="I7">
        <v>0</v>
      </c>
      <c r="J7">
        <v>0</v>
      </c>
      <c r="K7">
        <v>235</v>
      </c>
      <c r="L7">
        <v>1</v>
      </c>
    </row>
    <row r="8" spans="1:14" x14ac:dyDescent="0.25">
      <c r="A8" t="s">
        <v>0</v>
      </c>
      <c r="B8">
        <v>6</v>
      </c>
      <c r="C8">
        <v>268</v>
      </c>
      <c r="D8">
        <v>46</v>
      </c>
      <c r="E8">
        <v>0</v>
      </c>
      <c r="F8">
        <v>75</v>
      </c>
      <c r="G8">
        <v>6</v>
      </c>
      <c r="H8">
        <v>0</v>
      </c>
      <c r="I8">
        <v>0</v>
      </c>
      <c r="J8">
        <v>1</v>
      </c>
      <c r="K8">
        <v>244</v>
      </c>
      <c r="L8">
        <v>1</v>
      </c>
    </row>
    <row r="9" spans="1:14" x14ac:dyDescent="0.25">
      <c r="A9" t="s">
        <v>2</v>
      </c>
      <c r="B9">
        <v>6</v>
      </c>
      <c r="C9">
        <v>208</v>
      </c>
      <c r="D9">
        <v>39</v>
      </c>
      <c r="E9">
        <v>2</v>
      </c>
      <c r="F9">
        <v>68</v>
      </c>
      <c r="G9">
        <v>7</v>
      </c>
      <c r="H9">
        <v>0</v>
      </c>
      <c r="I9">
        <v>0</v>
      </c>
      <c r="J9">
        <v>0</v>
      </c>
      <c r="K9">
        <v>298</v>
      </c>
      <c r="L9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811E-7757-49D0-AE64-962D19D8EE86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265</v>
      </c>
      <c r="D2">
        <v>121</v>
      </c>
      <c r="E2">
        <v>5</v>
      </c>
      <c r="F2">
        <v>37</v>
      </c>
      <c r="G2">
        <v>4</v>
      </c>
      <c r="H2">
        <v>0</v>
      </c>
      <c r="I2">
        <v>0</v>
      </c>
      <c r="J2">
        <v>0</v>
      </c>
      <c r="K2">
        <v>100</v>
      </c>
      <c r="L2">
        <v>1</v>
      </c>
      <c r="M2">
        <v>1</v>
      </c>
      <c r="N2" t="s">
        <v>0</v>
      </c>
    </row>
    <row r="3" spans="1:14" x14ac:dyDescent="0.25">
      <c r="A3" t="s">
        <v>2</v>
      </c>
      <c r="B3">
        <v>6</v>
      </c>
      <c r="C3">
        <v>262</v>
      </c>
      <c r="D3">
        <v>115</v>
      </c>
      <c r="E3">
        <v>7</v>
      </c>
      <c r="F3">
        <v>45</v>
      </c>
      <c r="G3">
        <v>3</v>
      </c>
      <c r="H3">
        <v>0</v>
      </c>
      <c r="I3">
        <v>0</v>
      </c>
      <c r="J3">
        <v>0</v>
      </c>
      <c r="K3">
        <v>134</v>
      </c>
      <c r="L3">
        <v>1</v>
      </c>
      <c r="M3">
        <v>1</v>
      </c>
      <c r="N3" t="s">
        <v>7</v>
      </c>
    </row>
    <row r="4" spans="1:14" x14ac:dyDescent="0.25">
      <c r="A4" t="s">
        <v>1</v>
      </c>
      <c r="B4">
        <v>6</v>
      </c>
      <c r="C4">
        <v>267</v>
      </c>
      <c r="D4">
        <v>116</v>
      </c>
      <c r="E4">
        <v>6</v>
      </c>
      <c r="F4">
        <v>41</v>
      </c>
      <c r="G4">
        <v>2</v>
      </c>
      <c r="H4">
        <v>0</v>
      </c>
      <c r="I4">
        <v>0</v>
      </c>
      <c r="J4">
        <v>0</v>
      </c>
      <c r="K4">
        <v>110</v>
      </c>
      <c r="L4">
        <v>1</v>
      </c>
      <c r="M4">
        <v>1</v>
      </c>
      <c r="N4" t="s">
        <v>3</v>
      </c>
    </row>
    <row r="5" spans="1:14" x14ac:dyDescent="0.25">
      <c r="A5" t="s">
        <v>4</v>
      </c>
      <c r="B5">
        <v>6</v>
      </c>
      <c r="C5">
        <v>275</v>
      </c>
      <c r="D5">
        <v>116</v>
      </c>
      <c r="E5">
        <v>0</v>
      </c>
      <c r="F5">
        <v>36</v>
      </c>
      <c r="G5">
        <v>5</v>
      </c>
      <c r="H5">
        <v>0</v>
      </c>
      <c r="I5">
        <v>0</v>
      </c>
      <c r="J5">
        <v>0</v>
      </c>
      <c r="K5">
        <v>172</v>
      </c>
      <c r="L5">
        <v>1</v>
      </c>
      <c r="M5">
        <v>1</v>
      </c>
      <c r="N5" t="s">
        <v>5</v>
      </c>
    </row>
    <row r="6" spans="1:14" x14ac:dyDescent="0.25">
      <c r="A6" t="s">
        <v>0</v>
      </c>
      <c r="B6">
        <v>6</v>
      </c>
      <c r="C6">
        <v>288</v>
      </c>
      <c r="D6">
        <v>102</v>
      </c>
      <c r="E6">
        <v>1</v>
      </c>
      <c r="F6">
        <v>33</v>
      </c>
      <c r="G6">
        <v>7</v>
      </c>
      <c r="H6">
        <v>0</v>
      </c>
      <c r="I6">
        <v>0</v>
      </c>
      <c r="J6">
        <v>1</v>
      </c>
      <c r="K6">
        <v>224</v>
      </c>
      <c r="L6">
        <v>1</v>
      </c>
      <c r="M6">
        <v>0</v>
      </c>
      <c r="N6" t="s">
        <v>6</v>
      </c>
    </row>
    <row r="7" spans="1:14" x14ac:dyDescent="0.25">
      <c r="A7" t="s">
        <v>7</v>
      </c>
      <c r="B7">
        <v>6</v>
      </c>
      <c r="C7">
        <v>259</v>
      </c>
      <c r="D7">
        <v>111</v>
      </c>
      <c r="E7">
        <v>4</v>
      </c>
      <c r="F7">
        <v>52</v>
      </c>
      <c r="G7">
        <v>6</v>
      </c>
      <c r="H7">
        <v>0</v>
      </c>
      <c r="I7">
        <v>0</v>
      </c>
      <c r="J7">
        <v>0</v>
      </c>
      <c r="K7">
        <v>210</v>
      </c>
      <c r="L7">
        <v>1</v>
      </c>
      <c r="M7">
        <v>0</v>
      </c>
      <c r="N7" t="s">
        <v>2</v>
      </c>
    </row>
    <row r="8" spans="1:14" x14ac:dyDescent="0.25">
      <c r="A8" t="s">
        <v>3</v>
      </c>
      <c r="B8">
        <v>6</v>
      </c>
      <c r="C8">
        <v>283</v>
      </c>
      <c r="D8">
        <v>100</v>
      </c>
      <c r="E8">
        <v>1</v>
      </c>
      <c r="F8">
        <v>43</v>
      </c>
      <c r="G8">
        <v>5</v>
      </c>
      <c r="H8">
        <v>0</v>
      </c>
      <c r="I8">
        <v>0</v>
      </c>
      <c r="J8">
        <v>0</v>
      </c>
      <c r="K8">
        <v>239</v>
      </c>
      <c r="L8">
        <v>1</v>
      </c>
      <c r="M8">
        <v>0</v>
      </c>
      <c r="N8" t="s">
        <v>1</v>
      </c>
    </row>
    <row r="9" spans="1:14" x14ac:dyDescent="0.25">
      <c r="A9" t="s">
        <v>5</v>
      </c>
      <c r="B9">
        <v>6</v>
      </c>
      <c r="C9">
        <v>276</v>
      </c>
      <c r="D9">
        <v>98</v>
      </c>
      <c r="E9">
        <v>0</v>
      </c>
      <c r="F9">
        <v>53</v>
      </c>
      <c r="G9">
        <v>5</v>
      </c>
      <c r="H9">
        <v>0</v>
      </c>
      <c r="I9">
        <v>0</v>
      </c>
      <c r="J9">
        <v>0</v>
      </c>
      <c r="K9">
        <v>287</v>
      </c>
      <c r="L9">
        <v>1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6E9BF-6DCF-49BC-9F95-CA82716E71C9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278</v>
      </c>
      <c r="D2">
        <v>94</v>
      </c>
      <c r="E2">
        <v>2</v>
      </c>
      <c r="F2">
        <v>22</v>
      </c>
      <c r="G2">
        <v>0</v>
      </c>
      <c r="H2">
        <v>0</v>
      </c>
      <c r="I2">
        <v>0</v>
      </c>
      <c r="J2">
        <v>0</v>
      </c>
      <c r="K2">
        <v>107</v>
      </c>
      <c r="L2">
        <v>1</v>
      </c>
    </row>
    <row r="3" spans="1:14" x14ac:dyDescent="0.25">
      <c r="A3" t="s">
        <v>4</v>
      </c>
      <c r="B3">
        <v>6</v>
      </c>
      <c r="C3">
        <v>251</v>
      </c>
      <c r="D3">
        <v>92</v>
      </c>
      <c r="E3">
        <v>3</v>
      </c>
      <c r="F3">
        <v>46</v>
      </c>
      <c r="G3">
        <v>3</v>
      </c>
      <c r="H3">
        <v>0</v>
      </c>
      <c r="I3">
        <v>0</v>
      </c>
      <c r="J3">
        <v>1</v>
      </c>
      <c r="K3">
        <v>304</v>
      </c>
      <c r="L3">
        <v>1</v>
      </c>
    </row>
    <row r="4" spans="1:14" x14ac:dyDescent="0.25">
      <c r="A4" t="s">
        <v>0</v>
      </c>
      <c r="B4">
        <v>5</v>
      </c>
      <c r="C4">
        <v>185</v>
      </c>
      <c r="D4">
        <v>94</v>
      </c>
      <c r="E4">
        <v>1</v>
      </c>
      <c r="F4">
        <v>43</v>
      </c>
      <c r="G4">
        <v>1</v>
      </c>
      <c r="H4">
        <v>0</v>
      </c>
      <c r="I4">
        <v>0</v>
      </c>
      <c r="J4">
        <v>0</v>
      </c>
      <c r="K4">
        <v>153</v>
      </c>
      <c r="L4">
        <v>1</v>
      </c>
    </row>
    <row r="5" spans="1:14" x14ac:dyDescent="0.25">
      <c r="A5" t="s">
        <v>1</v>
      </c>
      <c r="B5">
        <v>6</v>
      </c>
      <c r="C5">
        <v>246</v>
      </c>
      <c r="D5">
        <v>91</v>
      </c>
      <c r="E5">
        <v>3</v>
      </c>
      <c r="F5">
        <v>50</v>
      </c>
      <c r="G5">
        <v>6</v>
      </c>
      <c r="H5">
        <v>0</v>
      </c>
      <c r="I5">
        <v>0</v>
      </c>
      <c r="J5">
        <v>0</v>
      </c>
      <c r="K5">
        <v>302</v>
      </c>
      <c r="L5">
        <v>1</v>
      </c>
    </row>
    <row r="6" spans="1:14" x14ac:dyDescent="0.25">
      <c r="A6" t="s">
        <v>3</v>
      </c>
      <c r="B6">
        <v>5</v>
      </c>
      <c r="C6">
        <v>226</v>
      </c>
      <c r="D6">
        <v>91</v>
      </c>
      <c r="E6">
        <v>1</v>
      </c>
      <c r="F6">
        <v>39</v>
      </c>
      <c r="G6">
        <v>3</v>
      </c>
      <c r="H6">
        <v>0</v>
      </c>
      <c r="I6">
        <v>0</v>
      </c>
      <c r="J6">
        <v>0</v>
      </c>
      <c r="K6">
        <v>164</v>
      </c>
      <c r="L6">
        <v>1</v>
      </c>
    </row>
    <row r="7" spans="1:14" x14ac:dyDescent="0.25">
      <c r="A7" t="s">
        <v>7</v>
      </c>
      <c r="B7">
        <v>6</v>
      </c>
      <c r="C7">
        <v>238</v>
      </c>
      <c r="D7">
        <v>79</v>
      </c>
      <c r="E7">
        <v>0</v>
      </c>
      <c r="F7">
        <v>40</v>
      </c>
      <c r="G7">
        <v>3</v>
      </c>
      <c r="H7">
        <v>0</v>
      </c>
      <c r="I7">
        <v>0</v>
      </c>
      <c r="J7">
        <v>0</v>
      </c>
      <c r="K7">
        <v>305</v>
      </c>
      <c r="L7">
        <v>1</v>
      </c>
    </row>
    <row r="8" spans="1:14" x14ac:dyDescent="0.25">
      <c r="A8" t="s">
        <v>5</v>
      </c>
      <c r="B8">
        <v>6</v>
      </c>
      <c r="C8">
        <v>191</v>
      </c>
      <c r="D8">
        <v>79</v>
      </c>
      <c r="E8">
        <v>1</v>
      </c>
      <c r="F8">
        <v>50</v>
      </c>
      <c r="G8">
        <v>3</v>
      </c>
      <c r="H8">
        <v>0</v>
      </c>
      <c r="I8">
        <v>0</v>
      </c>
      <c r="J8">
        <v>0</v>
      </c>
      <c r="K8">
        <v>361</v>
      </c>
      <c r="L8">
        <v>1</v>
      </c>
    </row>
    <row r="9" spans="1:14" x14ac:dyDescent="0.25">
      <c r="A9" t="s">
        <v>2</v>
      </c>
      <c r="B9">
        <v>6</v>
      </c>
      <c r="C9">
        <v>190</v>
      </c>
      <c r="D9">
        <v>58</v>
      </c>
      <c r="E9">
        <v>3</v>
      </c>
      <c r="F9">
        <v>36</v>
      </c>
      <c r="G9">
        <v>1</v>
      </c>
      <c r="H9">
        <v>0</v>
      </c>
      <c r="I9">
        <v>0</v>
      </c>
      <c r="J9">
        <v>0</v>
      </c>
      <c r="K9">
        <v>329</v>
      </c>
      <c r="L9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1B78C-0645-4DC4-9C8B-C424F0F1CFF7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221</v>
      </c>
      <c r="D2">
        <v>131</v>
      </c>
      <c r="E2">
        <v>5</v>
      </c>
      <c r="F2">
        <v>35</v>
      </c>
      <c r="G2">
        <v>2</v>
      </c>
      <c r="H2">
        <v>0</v>
      </c>
      <c r="I2">
        <v>0</v>
      </c>
      <c r="J2">
        <v>2</v>
      </c>
      <c r="K2">
        <v>159</v>
      </c>
      <c r="L2">
        <v>1</v>
      </c>
    </row>
    <row r="3" spans="1:14" x14ac:dyDescent="0.25">
      <c r="A3" t="s">
        <v>3</v>
      </c>
      <c r="B3">
        <v>6</v>
      </c>
      <c r="C3">
        <v>286</v>
      </c>
      <c r="D3">
        <v>118</v>
      </c>
      <c r="E3">
        <v>2</v>
      </c>
      <c r="F3">
        <v>25</v>
      </c>
      <c r="G3">
        <v>1</v>
      </c>
      <c r="H3">
        <v>0</v>
      </c>
      <c r="I3">
        <v>0</v>
      </c>
      <c r="J3">
        <v>0</v>
      </c>
      <c r="K3">
        <v>141</v>
      </c>
      <c r="L3">
        <v>1</v>
      </c>
    </row>
    <row r="4" spans="1:14" x14ac:dyDescent="0.25">
      <c r="A4" t="s">
        <v>1</v>
      </c>
      <c r="B4">
        <v>6</v>
      </c>
      <c r="C4">
        <v>217</v>
      </c>
      <c r="D4">
        <v>101</v>
      </c>
      <c r="E4">
        <v>5</v>
      </c>
      <c r="F4">
        <v>35</v>
      </c>
      <c r="G4">
        <v>2</v>
      </c>
      <c r="H4">
        <v>0</v>
      </c>
      <c r="I4">
        <v>0</v>
      </c>
      <c r="J4">
        <v>0</v>
      </c>
      <c r="K4">
        <v>235</v>
      </c>
      <c r="L4">
        <v>1</v>
      </c>
    </row>
    <row r="5" spans="1:14" x14ac:dyDescent="0.25">
      <c r="A5" t="s">
        <v>2</v>
      </c>
      <c r="B5">
        <v>6</v>
      </c>
      <c r="C5">
        <v>220</v>
      </c>
      <c r="D5">
        <v>101</v>
      </c>
      <c r="E5">
        <v>5</v>
      </c>
      <c r="F5">
        <v>31</v>
      </c>
      <c r="G5">
        <v>3</v>
      </c>
      <c r="H5">
        <v>0</v>
      </c>
      <c r="I5">
        <v>0</v>
      </c>
      <c r="J5">
        <v>0</v>
      </c>
      <c r="K5">
        <v>234</v>
      </c>
      <c r="L5">
        <v>1</v>
      </c>
    </row>
    <row r="6" spans="1:14" x14ac:dyDescent="0.25">
      <c r="A6" t="s">
        <v>5</v>
      </c>
      <c r="B6">
        <v>6</v>
      </c>
      <c r="C6">
        <v>212</v>
      </c>
      <c r="D6">
        <v>97</v>
      </c>
      <c r="E6">
        <v>2</v>
      </c>
      <c r="F6">
        <v>45</v>
      </c>
      <c r="G6">
        <v>4</v>
      </c>
      <c r="H6">
        <v>0</v>
      </c>
      <c r="I6">
        <v>0</v>
      </c>
      <c r="J6">
        <v>0</v>
      </c>
      <c r="K6">
        <v>334</v>
      </c>
      <c r="L6">
        <v>1</v>
      </c>
    </row>
    <row r="7" spans="1:14" x14ac:dyDescent="0.25">
      <c r="A7" t="s">
        <v>7</v>
      </c>
      <c r="B7">
        <v>6</v>
      </c>
      <c r="C7">
        <v>174</v>
      </c>
      <c r="D7">
        <v>79</v>
      </c>
      <c r="E7">
        <v>1</v>
      </c>
      <c r="F7">
        <v>30</v>
      </c>
      <c r="G7">
        <v>4</v>
      </c>
      <c r="H7">
        <v>0</v>
      </c>
      <c r="I7">
        <v>0</v>
      </c>
      <c r="J7">
        <v>0</v>
      </c>
      <c r="K7">
        <v>336</v>
      </c>
      <c r="L7">
        <v>1</v>
      </c>
    </row>
    <row r="8" spans="1:14" x14ac:dyDescent="0.25">
      <c r="A8" t="s">
        <v>6</v>
      </c>
      <c r="B8">
        <v>6</v>
      </c>
      <c r="C8">
        <v>201</v>
      </c>
      <c r="D8">
        <v>72</v>
      </c>
      <c r="E8">
        <v>2</v>
      </c>
      <c r="F8">
        <v>44</v>
      </c>
      <c r="G8">
        <v>5</v>
      </c>
      <c r="H8">
        <v>0</v>
      </c>
      <c r="I8">
        <v>0</v>
      </c>
      <c r="J8">
        <v>0</v>
      </c>
      <c r="K8">
        <v>426</v>
      </c>
      <c r="L8">
        <v>1</v>
      </c>
    </row>
    <row r="9" spans="1:14" x14ac:dyDescent="0.25">
      <c r="A9" t="s">
        <v>0</v>
      </c>
      <c r="B9">
        <v>4</v>
      </c>
      <c r="C9">
        <v>143</v>
      </c>
      <c r="D9">
        <v>45</v>
      </c>
      <c r="E9">
        <v>2</v>
      </c>
      <c r="F9">
        <v>25</v>
      </c>
      <c r="G9">
        <v>1</v>
      </c>
      <c r="H9">
        <v>0</v>
      </c>
      <c r="I9">
        <v>0</v>
      </c>
      <c r="J9">
        <v>0</v>
      </c>
      <c r="K9">
        <v>224</v>
      </c>
      <c r="L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2024-07-11T21:00:43Z</dcterms:modified>
</cp:coreProperties>
</file>