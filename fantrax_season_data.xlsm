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B943A855-8D00-4B25-AD39-E70D4481CE1E}" xr6:coauthVersionLast="47" xr6:coauthVersionMax="47" xr10:uidLastSave="{00000000-0000-0000-0000-000000000000}"/>
  <bookViews>
    <workbookView xWindow="-27195" yWindow="2730" windowWidth="21600" windowHeight="1110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</sheets>
  <definedNames>
    <definedName name="_xlnm._FilterDatabase" localSheetId="0" hidden="1">season_level!$A$1:$AO$97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97" i="9" l="1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AL18" i="9" s="1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L47" i="9" l="1"/>
  <c r="AL50" i="9"/>
  <c r="AM50" i="9" s="1"/>
  <c r="AL42" i="9"/>
  <c r="AM42" i="9" s="1"/>
  <c r="AL103" i="9"/>
  <c r="AL97" i="9"/>
  <c r="AM97" i="9" s="1"/>
  <c r="AO97" i="9" s="1"/>
  <c r="AL99" i="9"/>
  <c r="AM99" i="9" s="1"/>
  <c r="W99" i="9" s="1"/>
  <c r="AL101" i="9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M103" i="9"/>
  <c r="AO103" i="9" s="1"/>
  <c r="AL26" i="9"/>
  <c r="AM101" i="9"/>
  <c r="AO101" i="9" s="1"/>
  <c r="W103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7" i="9"/>
  <c r="AM41" i="9"/>
  <c r="AM32" i="9"/>
  <c r="AM19" i="9"/>
  <c r="AM15" i="9"/>
  <c r="AM57" i="9"/>
  <c r="AM27" i="9"/>
  <c r="AM18" i="9"/>
  <c r="AM10" i="9"/>
  <c r="AM4" i="9"/>
  <c r="AM7" i="9"/>
  <c r="W101" i="9" l="1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<sst xmlns="http://schemas.openxmlformats.org/spreadsheetml/2006/main" count="1456" uniqueCount="374">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</sst>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05"/>
  <sheetViews>
    <sheetView tabSelected="1" zoomScaleNormal="100" workbookViewId="0">
      <pane ySplit="1" topLeftCell="A98" activePane="bottomLeft" state="frozen"/>
      <selection pane="bottomLeft" activeCell="L53" sqref="L53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>AM2-U2</f>
        <v>-21.800000000000011</v>
      </c>
      <c r="X2">
        <f>IF(O2=1,50,IF(O2=2,25,IF(O2=3,18,IF(O2=4,16,IF(O2=5,14,IF(O2=6,12,IF(O2=7,10,IF(O2=8,9,IF(O2=10,7,IF(O2&lt;=15,6,IF(O2&lt;=20,5,IF(O2&lt;=25,4,IF(O2&lt;=30,3,IF(O2&lt;=40,2,IF(O2&lt;=50,1,IF(O2&gt;50,0))))))))))))))))</f>
        <v>7</v>
      </c>
      <c r="Y2">
        <f>IF(P2=1,50,IF(P2=2,25,IF(P2=3,18,IF(P2=4,16,IF(P2=5,14,IF(P2=6,12,IF(P2=7,10,IF(P2=8,9,IF(P2=10,7,IF(P2&lt;=15,6,IF(P2&lt;=20,5,IF(P2&lt;=25,4,IF(P2&lt;=30,3,IF(P2&lt;=40,2,IF(P2&lt;=50,1,IF(P2&gt;50,0))))))))))))))))</f>
        <v>6</v>
      </c>
      <c r="Z2">
        <f>IF(Q2=1,50,IF(Q2=2,25,IF(Q2=3,18,IF(Q2=4,16,IF(Q2=5,14,IF(Q2=6,12,IF(Q2=7,10,IF(Q2=8,9,IF(Q2=10,7,IF(Q2&lt;=15,6,IF(Q2&lt;=20,5,IF(Q2&lt;=25,4,IF(Q2&lt;=30,3,IF(Q2&lt;=40,2,IF(Q2&lt;=50,1,IF(Q2&gt;50,0))))))))))))))))</f>
        <v>5</v>
      </c>
      <c r="AA2">
        <f>IF(R2=1,50,IF(R2=2,25,IF(R2=3,18,IF(R2=4,16,IF(R2=5,14,IF(R2=6,12,IF(R2=7,10,IF(R2=8,9,IF(R2=10,7,IF(R2&lt;=15,6,IF(R2&lt;=20,5,IF(R2&lt;=25,4,IF(R2&lt;=30,3,IF(R2&lt;=40,2,IF(R2&lt;=50,1,IF(R2&gt;50,0))))))))))))))))</f>
        <v>4</v>
      </c>
      <c r="AB2">
        <f>IF(S2=1,50,IF(S2=2,25,IF(S2=3,18,IF(S2=4,16,IF(S2=5,14,IF(S2=6,12,IF(S2=7,10,IF(S2=8,9,IF(S2=10,7,IF(S2&lt;=15,6,IF(S2&lt;=20,5,IF(S2&lt;=25,4,IF(S2&lt;=30,3,IF(S2&lt;=40,2,IF(S2&lt;=50,1,IF(S2&gt;50,0))))))))))))))))</f>
        <v>0</v>
      </c>
      <c r="AC2">
        <f>IF(T2=1,50,IF(T2=2,25,IF(T2=3,18,IF(T2=4,16,IF(T2=5,14,IF(T2=6,12,IF(T2=7,10,IF(T2=8,9,IF(T2=10,7,IF(T2&lt;=15,6,IF(T2&lt;=20,5,IF(T2&lt;=25,4,IF(T2&lt;=30,3,IF(T2&lt;=40,2,IF(T2&lt;=50,1,IF(T2&gt;50,0))))))))))))))))</f>
        <v>0</v>
      </c>
      <c r="AD2">
        <f>C2*0.5</f>
        <v>116.5</v>
      </c>
      <c r="AE2">
        <f>D2*3</f>
        <v>255</v>
      </c>
      <c r="AF2">
        <f>E2*8</f>
        <v>16</v>
      </c>
      <c r="AG2">
        <f>-1*(F2/2)</f>
        <v>-18</v>
      </c>
      <c r="AH2">
        <f>G2*-1</f>
        <v>-3</v>
      </c>
      <c r="AI2">
        <f>H2*13</f>
        <v>0</v>
      </c>
      <c r="AJ2">
        <f>I2*5</f>
        <v>0</v>
      </c>
      <c r="AK2">
        <f>J2*-1</f>
        <v>-1</v>
      </c>
      <c r="AL2">
        <f>SUM(X2:AC2)</f>
        <v>22</v>
      </c>
      <c r="AM2">
        <f>SUM(AD2:AL2)</f>
        <v>387.5</v>
      </c>
      <c r="AN2">
        <f>SUM(C2:G2,J2)</f>
        <v>360</v>
      </c>
      <c r="AO2" s="1">
        <f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>AM3-U3</f>
        <v>-165.8</v>
      </c>
      <c r="X3">
        <f>IF(O3=1,50,IF(O3=2,25,IF(O3=3,18,IF(O3=4,16,IF(O3=5,14,IF(O3=6,12,IF(O3=7,10,IF(O3=8,9,IF(O3=10,7,IF(O3&lt;=15,6,IF(O3&lt;=20,5,IF(O3&lt;=25,4,IF(O3&lt;=30,3,IF(O3&lt;=40,2,IF(O3&lt;=50,1,IF(O3&gt;50,0))))))))))))))))</f>
        <v>6</v>
      </c>
      <c r="Y3">
        <f>IF(P3=1,50,IF(P3=2,25,IF(P3=3,18,IF(P3=4,16,IF(P3=5,14,IF(P3=6,12,IF(P3=7,10,IF(P3=8,9,IF(P3=10,7,IF(P3&lt;=15,6,IF(P3&lt;=20,5,IF(P3&lt;=25,4,IF(P3&lt;=30,3,IF(P3&lt;=40,2,IF(P3&lt;=50,1,IF(P3&gt;50,0))))))))))))))))</f>
        <v>3</v>
      </c>
      <c r="Z3">
        <f>IF(Q3=1,50,IF(Q3=2,25,IF(Q3=3,18,IF(Q3=4,16,IF(Q3=5,14,IF(Q3=6,12,IF(Q3=7,10,IF(Q3=8,9,IF(Q3=10,7,IF(Q3&lt;=15,6,IF(Q3&lt;=20,5,IF(Q3&lt;=25,4,IF(Q3&lt;=30,3,IF(Q3&lt;=40,2,IF(Q3&lt;=50,1,IF(Q3&gt;50,0))))))))))))))))</f>
        <v>1</v>
      </c>
      <c r="AA3">
        <f>IF(R3=1,50,IF(R3=2,25,IF(R3=3,18,IF(R3=4,16,IF(R3=5,14,IF(R3=6,12,IF(R3=7,10,IF(R3=8,9,IF(R3=10,7,IF(R3&lt;=15,6,IF(R3&lt;=20,5,IF(R3&lt;=25,4,IF(R3&lt;=30,3,IF(R3&lt;=40,2,IF(R3&lt;=50,1,IF(R3&gt;50,0))))))))))))))))</f>
        <v>0</v>
      </c>
      <c r="AB3">
        <f>IF(S3=1,50,IF(S3=2,25,IF(S3=3,18,IF(S3=4,16,IF(S3=5,14,IF(S3=6,12,IF(S3=7,10,IF(S3=8,9,IF(S3=10,7,IF(S3&lt;=15,6,IF(S3&lt;=20,5,IF(S3&lt;=25,4,IF(S3&lt;=30,3,IF(S3&lt;=40,2,IF(S3&lt;=50,1,IF(S3&gt;50,0))))))))))))))))</f>
        <v>0</v>
      </c>
      <c r="AC3">
        <f>IF(T3=1,50,IF(T3=2,25,IF(T3=3,18,IF(T3=4,16,IF(T3=5,14,IF(T3=6,12,IF(T3=7,10,IF(T3=8,9,IF(T3=10,7,IF(T3&lt;=15,6,IF(T3&lt;=20,5,IF(T3&lt;=25,4,IF(T3&lt;=30,3,IF(T3&lt;=40,2,IF(T3&lt;=50,1,IF(T3&gt;50,0))))))))))))))))</f>
        <v>0</v>
      </c>
      <c r="AD3">
        <f>C3*0.5</f>
        <v>68.5</v>
      </c>
      <c r="AE3">
        <f>D3*3</f>
        <v>147</v>
      </c>
      <c r="AF3">
        <f>E3*8</f>
        <v>32</v>
      </c>
      <c r="AG3">
        <f>-1*(F3/2)</f>
        <v>-12</v>
      </c>
      <c r="AH3">
        <f>G3*-1</f>
        <v>-2</v>
      </c>
      <c r="AI3">
        <f>H3*13</f>
        <v>0</v>
      </c>
      <c r="AJ3">
        <f>I3*5</f>
        <v>0</v>
      </c>
      <c r="AK3">
        <f>J3*-1</f>
        <v>0</v>
      </c>
      <c r="AL3">
        <f>SUM(X3:AC3)</f>
        <v>10</v>
      </c>
      <c r="AM3">
        <f>SUM(AD3:AL3)</f>
        <v>243.5</v>
      </c>
      <c r="AN3">
        <f>SUM(C3:G3,J3)</f>
        <v>216</v>
      </c>
      <c r="AO3" s="1">
        <f>AM3/AN3</f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>AM4-U4</f>
        <v>45.199999999999989</v>
      </c>
      <c r="X4">
        <f>IF(O4=1,50,IF(O4=2,25,IF(O4=3,18,IF(O4=4,16,IF(O4=5,14,IF(O4=6,12,IF(O4=7,10,IF(O4=8,9,IF(O4=10,7,IF(O4&lt;=15,6,IF(O4&lt;=20,5,IF(O4&lt;=25,4,IF(O4&lt;=30,3,IF(O4&lt;=40,2,IF(O4&lt;=50,1,IF(O4&gt;50,0))))))))))))))))</f>
        <v>16</v>
      </c>
      <c r="Y4">
        <f>IF(P4=1,50,IF(P4=2,25,IF(P4=3,18,IF(P4=4,16,IF(P4=5,14,IF(P4=6,12,IF(P4=7,10,IF(P4=8,9,IF(P4=10,7,IF(P4&lt;=15,6,IF(P4&lt;=20,5,IF(P4&lt;=25,4,IF(P4&lt;=30,3,IF(P4&lt;=40,2,IF(P4&lt;=50,1,IF(P4&gt;50,0))))))))))))))))</f>
        <v>6</v>
      </c>
      <c r="Z4">
        <f>IF(Q4=1,50,IF(Q4=2,25,IF(Q4=3,18,IF(Q4=4,16,IF(Q4=5,14,IF(Q4=6,12,IF(Q4=7,10,IF(Q4=8,9,IF(Q4=10,7,IF(Q4&lt;=15,6,IF(Q4&lt;=20,5,IF(Q4&lt;=25,4,IF(Q4&lt;=30,3,IF(Q4&lt;=40,2,IF(Q4&lt;=50,1,IF(Q4&gt;50,0))))))))))))))))</f>
        <v>5</v>
      </c>
      <c r="AA4">
        <f>IF(R4=1,50,IF(R4=2,25,IF(R4=3,18,IF(R4=4,16,IF(R4=5,14,IF(R4=6,12,IF(R4=7,10,IF(R4=8,9,IF(R4=10,7,IF(R4&lt;=15,6,IF(R4&lt;=20,5,IF(R4&lt;=25,4,IF(R4&lt;=30,3,IF(R4&lt;=40,2,IF(R4&lt;=50,1,IF(R4&gt;50,0))))))))))))))))</f>
        <v>0</v>
      </c>
      <c r="AB4">
        <f>IF(S4=1,50,IF(S4=2,25,IF(S4=3,18,IF(S4=4,16,IF(S4=5,14,IF(S4=6,12,IF(S4=7,10,IF(S4=8,9,IF(S4=10,7,IF(S4&lt;=15,6,IF(S4&lt;=20,5,IF(S4&lt;=25,4,IF(S4&lt;=30,3,IF(S4&lt;=40,2,IF(S4&lt;=50,1,IF(S4&gt;50,0))))))))))))))))</f>
        <v>0</v>
      </c>
      <c r="AC4">
        <f>IF(T4=1,50,IF(T4=2,25,IF(T4=3,18,IF(T4=4,16,IF(T4=5,14,IF(T4=6,12,IF(T4=7,10,IF(T4=8,9,IF(T4=10,7,IF(T4&lt;=15,6,IF(T4&lt;=20,5,IF(T4&lt;=25,4,IF(T4&lt;=30,3,IF(T4&lt;=40,2,IF(T4&lt;=50,1,IF(T4&gt;50,0))))))))))))))))</f>
        <v>0</v>
      </c>
      <c r="AD4">
        <f>C4*0.5</f>
        <v>142</v>
      </c>
      <c r="AE4">
        <f>D4*3</f>
        <v>279</v>
      </c>
      <c r="AF4">
        <f>E4*8</f>
        <v>32</v>
      </c>
      <c r="AG4">
        <f>-1*(F4/2)</f>
        <v>-25.5</v>
      </c>
      <c r="AH4">
        <f>G4*-1</f>
        <v>0</v>
      </c>
      <c r="AI4">
        <f>H4*13</f>
        <v>0</v>
      </c>
      <c r="AJ4">
        <f>I4*5</f>
        <v>0</v>
      </c>
      <c r="AK4">
        <f>J4*-1</f>
        <v>0</v>
      </c>
      <c r="AL4">
        <f>SUM(X4:AC4)</f>
        <v>27</v>
      </c>
      <c r="AM4">
        <f>SUM(AD4:AL4)</f>
        <v>454.5</v>
      </c>
      <c r="AN4">
        <f>SUM(C4:G4,J4)</f>
        <v>432</v>
      </c>
      <c r="AO4" s="1">
        <f>AM4/AN4</f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>AM5-U5</f>
        <v>2.6999999999999886</v>
      </c>
      <c r="X5">
        <f>IF(O5=1,50,IF(O5=2,25,IF(O5=3,18,IF(O5=4,16,IF(O5=5,14,IF(O5=6,12,IF(O5=7,10,IF(O5=8,9,IF(O5=10,7,IF(O5&lt;=15,6,IF(O5&lt;=20,5,IF(O5&lt;=25,4,IF(O5&lt;=30,3,IF(O5&lt;=40,2,IF(O5&lt;=50,1,IF(O5&gt;50,0))))))))))))))))</f>
        <v>10</v>
      </c>
      <c r="Y5">
        <f>IF(P5=1,50,IF(P5=2,25,IF(P5=3,18,IF(P5=4,16,IF(P5=5,14,IF(P5=6,12,IF(P5=7,10,IF(P5=8,9,IF(P5=10,7,IF(P5&lt;=15,6,IF(P5&lt;=20,5,IF(P5&lt;=25,4,IF(P5&lt;=30,3,IF(P5&lt;=40,2,IF(P5&lt;=50,1,IF(P5&gt;50,0))))))))))))))))</f>
        <v>10</v>
      </c>
      <c r="Z5">
        <f>IF(Q5=1,50,IF(Q5=2,25,IF(Q5=3,18,IF(Q5=4,16,IF(Q5=5,14,IF(Q5=6,12,IF(Q5=7,10,IF(Q5=8,9,IF(Q5=10,7,IF(Q5&lt;=15,6,IF(Q5&lt;=20,5,IF(Q5&lt;=25,4,IF(Q5&lt;=30,3,IF(Q5&lt;=40,2,IF(Q5&lt;=50,1,IF(Q5&gt;50,0))))))))))))))))</f>
        <v>4</v>
      </c>
      <c r="AA5">
        <f>IF(R5=1,50,IF(R5=2,25,IF(R5=3,18,IF(R5=4,16,IF(R5=5,14,IF(R5=6,12,IF(R5=7,10,IF(R5=8,9,IF(R5=10,7,IF(R5&lt;=15,6,IF(R5&lt;=20,5,IF(R5&lt;=25,4,IF(R5&lt;=30,3,IF(R5&lt;=40,2,IF(R5&lt;=50,1,IF(R5&gt;50,0))))))))))))))))</f>
        <v>3</v>
      </c>
      <c r="AB5">
        <f>IF(S5=1,50,IF(S5=2,25,IF(S5=3,18,IF(S5=4,16,IF(S5=5,14,IF(S5=6,12,IF(S5=7,10,IF(S5=8,9,IF(S5=10,7,IF(S5&lt;=15,6,IF(S5&lt;=20,5,IF(S5&lt;=25,4,IF(S5&lt;=30,3,IF(S5&lt;=40,2,IF(S5&lt;=50,1,IF(S5&gt;50,0))))))))))))))))</f>
        <v>0</v>
      </c>
      <c r="AC5">
        <f>IF(T5=1,50,IF(T5=2,25,IF(T5=3,18,IF(T5=4,16,IF(T5=5,14,IF(T5=6,12,IF(T5=7,10,IF(T5=8,9,IF(T5=10,7,IF(T5&lt;=15,6,IF(T5&lt;=20,5,IF(T5&lt;=25,4,IF(T5&lt;=30,3,IF(T5&lt;=40,2,IF(T5&lt;=50,1,IF(T5&gt;50,0))))))))))))))))</f>
        <v>0</v>
      </c>
      <c r="AD5">
        <f>C5*0.5</f>
        <v>112</v>
      </c>
      <c r="AE5">
        <f>D5*3</f>
        <v>243</v>
      </c>
      <c r="AF5">
        <f>E5*8</f>
        <v>56</v>
      </c>
      <c r="AG5">
        <f>-1*(F5/2)</f>
        <v>-22</v>
      </c>
      <c r="AH5">
        <f>G5*-1</f>
        <v>-4</v>
      </c>
      <c r="AI5">
        <f>H5*13</f>
        <v>0</v>
      </c>
      <c r="AJ5">
        <f>I5*5</f>
        <v>0</v>
      </c>
      <c r="AK5">
        <f>J5*-1</f>
        <v>0</v>
      </c>
      <c r="AL5">
        <f>SUM(X5:AC5)</f>
        <v>27</v>
      </c>
      <c r="AM5">
        <f>SUM(AD5:AL5)</f>
        <v>412</v>
      </c>
      <c r="AN5">
        <f>SUM(C5:G5,J5)</f>
        <v>360</v>
      </c>
      <c r="AO5" s="1">
        <f>AM5/AN5</f>
        <v>1.1444444444444444</v>
      </c>
    </row>
    <row r="6" spans="1:41" x14ac:dyDescent="0.25">
      <c r="A6" t="s">
        <v>30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>AM6-U6</f>
        <v>-145.80000000000001</v>
      </c>
      <c r="X6">
        <f>IF(O6=1,50,IF(O6=2,25,IF(O6=3,18,IF(O6=4,16,IF(O6=5,14,IF(O6=6,12,IF(O6=7,10,IF(O6=8,9,IF(O6=10,7,IF(O6&lt;=15,6,IF(O6&lt;=20,5,IF(O6&lt;=25,4,IF(O6&lt;=30,3,IF(O6&lt;=40,2,IF(O6&lt;=50,1,IF(O6&gt;50,0))))))))))))))))</f>
        <v>1</v>
      </c>
      <c r="Y6">
        <f>IF(P6=1,50,IF(P6=2,25,IF(P6=3,18,IF(P6=4,16,IF(P6=5,14,IF(P6=6,12,IF(P6=7,10,IF(P6=8,9,IF(P6=10,7,IF(P6&lt;=15,6,IF(P6&lt;=20,5,IF(P6&lt;=25,4,IF(P6&lt;=30,3,IF(P6&lt;=40,2,IF(P6&lt;=50,1,IF(P6&gt;50,0))))))))))))))))</f>
        <v>1</v>
      </c>
      <c r="Z6">
        <f>IF(Q6=1,50,IF(Q6=2,25,IF(Q6=3,18,IF(Q6=4,16,IF(Q6=5,14,IF(Q6=6,12,IF(Q6=7,10,IF(Q6=8,9,IF(Q6=10,7,IF(Q6&lt;=15,6,IF(Q6&lt;=20,5,IF(Q6&lt;=25,4,IF(Q6&lt;=30,3,IF(Q6&lt;=40,2,IF(Q6&lt;=50,1,IF(Q6&gt;50,0))))))))))))))))</f>
        <v>0</v>
      </c>
      <c r="AA6">
        <f>IF(R6=1,50,IF(R6=2,25,IF(R6=3,18,IF(R6=4,16,IF(R6=5,14,IF(R6=6,12,IF(R6=7,10,IF(R6=8,9,IF(R6=10,7,IF(R6&lt;=15,6,IF(R6&lt;=20,5,IF(R6&lt;=25,4,IF(R6&lt;=30,3,IF(R6&lt;=40,2,IF(R6&lt;=50,1,IF(R6&gt;50,0))))))))))))))))</f>
        <v>0</v>
      </c>
      <c r="AB6">
        <f>IF(S6=1,50,IF(S6=2,25,IF(S6=3,18,IF(S6=4,16,IF(S6=5,14,IF(S6=6,12,IF(S6=7,10,IF(S6=8,9,IF(S6=10,7,IF(S6&lt;=15,6,IF(S6&lt;=20,5,IF(S6&lt;=25,4,IF(S6&lt;=30,3,IF(S6&lt;=40,2,IF(S6&lt;=50,1,IF(S6&gt;50,0))))))))))))))))</f>
        <v>0</v>
      </c>
      <c r="AC6">
        <f>IF(T6=1,50,IF(T6=2,25,IF(T6=3,18,IF(T6=4,16,IF(T6=5,14,IF(T6=6,12,IF(T6=7,10,IF(T6=8,9,IF(T6=10,7,IF(T6&lt;=15,6,IF(T6&lt;=20,5,IF(T6&lt;=25,4,IF(T6&lt;=30,3,IF(T6&lt;=40,2,IF(T6&lt;=50,1,IF(T6&gt;50,0))))))))))))))))</f>
        <v>0</v>
      </c>
      <c r="AD6">
        <f>C6*0.5</f>
        <v>94.5</v>
      </c>
      <c r="AE6">
        <f>D6*3</f>
        <v>174</v>
      </c>
      <c r="AF6">
        <f>E6*8</f>
        <v>16</v>
      </c>
      <c r="AG6">
        <f>-1*(F6/2)</f>
        <v>-16</v>
      </c>
      <c r="AH6">
        <f>G6*-1</f>
        <v>-7</v>
      </c>
      <c r="AI6">
        <f>H6*13</f>
        <v>0</v>
      </c>
      <c r="AJ6">
        <f>I6*5</f>
        <v>0</v>
      </c>
      <c r="AK6">
        <f>J6*-1</f>
        <v>0</v>
      </c>
      <c r="AL6">
        <f>SUM(X6:AC6)</f>
        <v>2</v>
      </c>
      <c r="AM6">
        <f>SUM(AD6:AL6)</f>
        <v>263.5</v>
      </c>
      <c r="AN6">
        <f>SUM(C6:G6,J6)</f>
        <v>288</v>
      </c>
      <c r="AO6" s="1">
        <f>AM6/AN6</f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>AM7-U7</f>
        <v>113.69999999999999</v>
      </c>
      <c r="X7">
        <f>IF(O7=1,50,IF(O7=2,25,IF(O7=3,18,IF(O7=4,16,IF(O7=5,14,IF(O7=6,12,IF(O7=7,10,IF(O7=8,9,IF(O7=10,7,IF(O7&lt;=15,6,IF(O7&lt;=20,5,IF(O7&lt;=25,4,IF(O7&lt;=30,3,IF(O7&lt;=40,2,IF(O7&lt;=50,1,IF(O7&gt;50,0))))))))))))))))</f>
        <v>25</v>
      </c>
      <c r="Y7">
        <f>IF(P7=1,50,IF(P7=2,25,IF(P7=3,18,IF(P7=4,16,IF(P7=5,14,IF(P7=6,12,IF(P7=7,10,IF(P7=8,9,IF(P7=10,7,IF(P7&lt;=15,6,IF(P7&lt;=20,5,IF(P7&lt;=25,4,IF(P7&lt;=30,3,IF(P7&lt;=40,2,IF(P7&lt;=50,1,IF(P7&gt;50,0))))))))))))))))</f>
        <v>6</v>
      </c>
      <c r="Z7">
        <f>IF(Q7=1,50,IF(Q7=2,25,IF(Q7=3,18,IF(Q7=4,16,IF(Q7=5,14,IF(Q7=6,12,IF(Q7=7,10,IF(Q7=8,9,IF(Q7=10,7,IF(Q7&lt;=15,6,IF(Q7&lt;=20,5,IF(Q7&lt;=25,4,IF(Q7&lt;=30,3,IF(Q7&lt;=40,2,IF(Q7&lt;=50,1,IF(Q7&gt;50,0))))))))))))))))</f>
        <v>6</v>
      </c>
      <c r="AA7">
        <f>IF(R7=1,50,IF(R7=2,25,IF(R7=3,18,IF(R7=4,16,IF(R7=5,14,IF(R7=6,12,IF(R7=7,10,IF(R7=8,9,IF(R7=10,7,IF(R7&lt;=15,6,IF(R7&lt;=20,5,IF(R7&lt;=25,4,IF(R7&lt;=30,3,IF(R7&lt;=40,2,IF(R7&lt;=50,1,IF(R7&gt;50,0))))))))))))))))</f>
        <v>5</v>
      </c>
      <c r="AB7">
        <f>IF(S7=1,50,IF(S7=2,25,IF(S7=3,18,IF(S7=4,16,IF(S7=5,14,IF(S7=6,12,IF(S7=7,10,IF(S7=8,9,IF(S7=10,7,IF(S7&lt;=15,6,IF(S7&lt;=20,5,IF(S7&lt;=25,4,IF(S7&lt;=30,3,IF(S7&lt;=40,2,IF(S7&lt;=50,1,IF(S7&gt;50,0))))))))))))))))</f>
        <v>3</v>
      </c>
      <c r="AC7">
        <f>IF(T7=1,50,IF(T7=2,25,IF(T7=3,18,IF(T7=4,16,IF(T7=5,14,IF(T7=6,12,IF(T7=7,10,IF(T7=8,9,IF(T7=10,7,IF(T7&lt;=15,6,IF(T7&lt;=20,5,IF(T7&lt;=25,4,IF(T7&lt;=30,3,IF(T7&lt;=40,2,IF(T7&lt;=50,1,IF(T7&gt;50,0))))))))))))))))</f>
        <v>3</v>
      </c>
      <c r="AD7">
        <f>C7*0.5</f>
        <v>141</v>
      </c>
      <c r="AE7">
        <f>D7*3</f>
        <v>300</v>
      </c>
      <c r="AF7">
        <f>E7*8</f>
        <v>56</v>
      </c>
      <c r="AG7">
        <f>-1*(F7/2)</f>
        <v>-21</v>
      </c>
      <c r="AH7">
        <f>G7*-1</f>
        <v>-1</v>
      </c>
      <c r="AI7">
        <f>H7*13</f>
        <v>0</v>
      </c>
      <c r="AJ7">
        <f>I7*5</f>
        <v>0</v>
      </c>
      <c r="AK7">
        <f>J7*-1</f>
        <v>0</v>
      </c>
      <c r="AL7">
        <f>SUM(X7:AC7)</f>
        <v>48</v>
      </c>
      <c r="AM7">
        <f>SUM(AD7:AL7)</f>
        <v>523</v>
      </c>
      <c r="AN7">
        <f>SUM(C7:G7,J7)</f>
        <v>432</v>
      </c>
      <c r="AO7" s="1">
        <f>AM7/AN7</f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30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>AM8-U8</f>
        <v>-2.8000000000000114</v>
      </c>
      <c r="X8">
        <f>IF(O8=1,50,IF(O8=2,25,IF(O8=3,18,IF(O8=4,16,IF(O8=5,14,IF(O8=6,12,IF(O8=7,10,IF(O8=8,9,IF(O8=10,7,IF(O8&lt;=15,6,IF(O8&lt;=20,5,IF(O8&lt;=25,4,IF(O8&lt;=30,3,IF(O8&lt;=40,2,IF(O8&lt;=50,1,IF(O8&gt;50,0))))))))))))))))</f>
        <v>25</v>
      </c>
      <c r="Y8">
        <f>IF(P8=1,50,IF(P8=2,25,IF(P8=3,18,IF(P8=4,16,IF(P8=5,14,IF(P8=6,12,IF(P8=7,10,IF(P8=8,9,IF(P8=10,7,IF(P8&lt;=15,6,IF(P8&lt;=20,5,IF(P8&lt;=25,4,IF(P8&lt;=30,3,IF(P8&lt;=40,2,IF(P8&lt;=50,1,IF(P8&gt;50,0))))))))))))))))</f>
        <v>12</v>
      </c>
      <c r="Z8">
        <f>IF(Q8=1,50,IF(Q8=2,25,IF(Q8=3,18,IF(Q8=4,16,IF(Q8=5,14,IF(Q8=6,12,IF(Q8=7,10,IF(Q8=8,9,IF(Q8=10,7,IF(Q8&lt;=15,6,IF(Q8&lt;=20,5,IF(Q8&lt;=25,4,IF(Q8&lt;=30,3,IF(Q8&lt;=40,2,IF(Q8&lt;=50,1,IF(Q8&gt;50,0))))))))))))))))</f>
        <v>3</v>
      </c>
      <c r="AA8">
        <f>IF(R8=1,50,IF(R8=2,25,IF(R8=3,18,IF(R8=4,16,IF(R8=5,14,IF(R8=6,12,IF(R8=7,10,IF(R8=8,9,IF(R8=10,7,IF(R8&lt;=15,6,IF(R8&lt;=20,5,IF(R8&lt;=25,4,IF(R8&lt;=30,3,IF(R8&lt;=40,2,IF(R8&lt;=50,1,IF(R8&gt;50,0))))))))))))))))</f>
        <v>0</v>
      </c>
      <c r="AB8">
        <f>IF(S8=1,50,IF(S8=2,25,IF(S8=3,18,IF(S8=4,16,IF(S8=5,14,IF(S8=6,12,IF(S8=7,10,IF(S8=8,9,IF(S8=10,7,IF(S8&lt;=15,6,IF(S8&lt;=20,5,IF(S8&lt;=25,4,IF(S8&lt;=30,3,IF(S8&lt;=40,2,IF(S8&lt;=50,1,IF(S8&gt;50,0))))))))))))))))</f>
        <v>0</v>
      </c>
      <c r="AC8">
        <f>IF(T8=1,50,IF(T8=2,25,IF(T8=3,18,IF(T8=4,16,IF(T8=5,14,IF(T8=6,12,IF(T8=7,10,IF(T8=8,9,IF(T8=10,7,IF(T8&lt;=15,6,IF(T8&lt;=20,5,IF(T8&lt;=25,4,IF(T8&lt;=30,3,IF(T8&lt;=40,2,IF(T8&lt;=50,1,IF(T8&gt;50,0))))))))))))))))</f>
        <v>0</v>
      </c>
      <c r="AD8">
        <f>C8*0.5</f>
        <v>119</v>
      </c>
      <c r="AE8">
        <f>D8*3</f>
        <v>243</v>
      </c>
      <c r="AF8">
        <f>E8*8</f>
        <v>24</v>
      </c>
      <c r="AG8">
        <f>-1*(F8/2)</f>
        <v>-18.5</v>
      </c>
      <c r="AH8">
        <f>G8*-1</f>
        <v>-1</v>
      </c>
      <c r="AI8">
        <f>H8*13</f>
        <v>0</v>
      </c>
      <c r="AJ8">
        <f>I8*5</f>
        <v>0</v>
      </c>
      <c r="AK8">
        <f>J8*-1</f>
        <v>0</v>
      </c>
      <c r="AL8">
        <f>SUM(X8:AC8)</f>
        <v>40</v>
      </c>
      <c r="AM8">
        <f>SUM(AD8:AL8)</f>
        <v>406.5</v>
      </c>
      <c r="AN8">
        <f>SUM(C8:G8,J8)</f>
        <v>360</v>
      </c>
      <c r="AO8" s="1">
        <f>AM8/AN8</f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>AM9-U9</f>
        <v>27.199999999999989</v>
      </c>
      <c r="X9">
        <f>IF(O9=1,50,IF(O9=2,25,IF(O9=3,18,IF(O9=4,16,IF(O9=5,14,IF(O9=6,12,IF(O9=7,10,IF(O9=8,9,IF(O9=10,7,IF(O9&lt;=15,6,IF(O9&lt;=20,5,IF(O9&lt;=25,4,IF(O9&lt;=30,3,IF(O9&lt;=40,2,IF(O9&lt;=50,1,IF(O9&gt;50,0))))))))))))))))</f>
        <v>4</v>
      </c>
      <c r="Y9">
        <f>IF(P9=1,50,IF(P9=2,25,IF(P9=3,18,IF(P9=4,16,IF(P9=5,14,IF(P9=6,12,IF(P9=7,10,IF(P9=8,9,IF(P9=10,7,IF(P9&lt;=15,6,IF(P9&lt;=20,5,IF(P9&lt;=25,4,IF(P9&lt;=30,3,IF(P9&lt;=40,2,IF(P9&lt;=50,1,IF(P9&gt;50,0))))))))))))))))</f>
        <v>3</v>
      </c>
      <c r="Z9">
        <f>IF(Q9=1,50,IF(Q9=2,25,IF(Q9=3,18,IF(Q9=4,16,IF(Q9=5,14,IF(Q9=6,12,IF(Q9=7,10,IF(Q9=8,9,IF(Q9=10,7,IF(Q9&lt;=15,6,IF(Q9&lt;=20,5,IF(Q9&lt;=25,4,IF(Q9&lt;=30,3,IF(Q9&lt;=40,2,IF(Q9&lt;=50,1,IF(Q9&gt;50,0))))))))))))))))</f>
        <v>1</v>
      </c>
      <c r="AA9">
        <f>IF(R9=1,50,IF(R9=2,25,IF(R9=3,18,IF(R9=4,16,IF(R9=5,14,IF(R9=6,12,IF(R9=7,10,IF(R9=8,9,IF(R9=10,7,IF(R9&lt;=15,6,IF(R9&lt;=20,5,IF(R9&lt;=25,4,IF(R9&lt;=30,3,IF(R9&lt;=40,2,IF(R9&lt;=50,1,IF(R9&gt;50,0))))))))))))))))</f>
        <v>0</v>
      </c>
      <c r="AB9">
        <f>IF(S9=1,50,IF(S9=2,25,IF(S9=3,18,IF(S9=4,16,IF(S9=5,14,IF(S9=6,12,IF(S9=7,10,IF(S9=8,9,IF(S9=10,7,IF(S9&lt;=15,6,IF(S9&lt;=20,5,IF(S9&lt;=25,4,IF(S9&lt;=30,3,IF(S9&lt;=40,2,IF(S9&lt;=50,1,IF(S9&gt;50,0))))))))))))))))</f>
        <v>0</v>
      </c>
      <c r="AC9">
        <f>IF(T9=1,50,IF(T9=2,25,IF(T9=3,18,IF(T9=4,16,IF(T9=5,14,IF(T9=6,12,IF(T9=7,10,IF(T9=8,9,IF(T9=10,7,IF(T9&lt;=15,6,IF(T9&lt;=20,5,IF(T9&lt;=25,4,IF(T9&lt;=30,3,IF(T9&lt;=40,2,IF(T9&lt;=50,1,IF(T9&gt;50,0))))))))))))))))</f>
        <v>0</v>
      </c>
      <c r="AD9">
        <f>C9*0.5</f>
        <v>139</v>
      </c>
      <c r="AE9">
        <f>D9*3</f>
        <v>294</v>
      </c>
      <c r="AF9">
        <f>E9*8</f>
        <v>24</v>
      </c>
      <c r="AG9">
        <f>-1*(F9/2)</f>
        <v>-24.5</v>
      </c>
      <c r="AH9">
        <f>G9*-1</f>
        <v>-4</v>
      </c>
      <c r="AI9">
        <f>H9*13</f>
        <v>0</v>
      </c>
      <c r="AJ9">
        <f>I9*5</f>
        <v>0</v>
      </c>
      <c r="AK9">
        <f>J9*-1</f>
        <v>0</v>
      </c>
      <c r="AL9">
        <f>SUM(X9:AC9)</f>
        <v>8</v>
      </c>
      <c r="AM9">
        <f>SUM(AD9:AL9)</f>
        <v>436.5</v>
      </c>
      <c r="AN9">
        <f>SUM(C9:G9,J9)</f>
        <v>432</v>
      </c>
      <c r="AO9" s="1">
        <f>AM9/AN9</f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>AM10-U10</f>
        <v>37.5</v>
      </c>
      <c r="X10">
        <f>IF(O10=1,50,IF(O10=2,25,IF(O10=3,18,IF(O10=4,16,IF(O10=5,14,IF(O10=6,12,IF(O10=7,10,IF(O10=8,9,IF(O10=10,7,IF(O10&lt;=15,6,IF(O10&lt;=20,5,IF(O10&lt;=25,4,IF(O10&lt;=30,3,IF(O10&lt;=40,2,IF(O10&lt;=50,1,IF(O10&gt;50,0))))))))))))))))</f>
        <v>18</v>
      </c>
      <c r="Y10">
        <f>IF(P10=1,50,IF(P10=2,25,IF(P10=3,18,IF(P10=4,16,IF(P10=5,14,IF(P10=6,12,IF(P10=7,10,IF(P10=8,9,IF(P10=10,7,IF(P10&lt;=15,6,IF(P10&lt;=20,5,IF(P10&lt;=25,4,IF(P10&lt;=30,3,IF(P10&lt;=40,2,IF(P10&lt;=50,1,IF(P10&gt;50,0))))))))))))))))</f>
        <v>12</v>
      </c>
      <c r="Z10">
        <f>IF(Q10=1,50,IF(Q10=2,25,IF(Q10=3,18,IF(Q10=4,16,IF(Q10=5,14,IF(Q10=6,12,IF(Q10=7,10,IF(Q10=8,9,IF(Q10=10,7,IF(Q10&lt;=15,6,IF(Q10&lt;=20,5,IF(Q10&lt;=25,4,IF(Q10&lt;=30,3,IF(Q10&lt;=40,2,IF(Q10&lt;=50,1,IF(Q10&gt;50,0))))))))))))))))</f>
        <v>2</v>
      </c>
      <c r="AA10">
        <f>IF(R10=1,50,IF(R10=2,25,IF(R10=3,18,IF(R10=4,16,IF(R10=5,14,IF(R10=6,12,IF(R10=7,10,IF(R10=8,9,IF(R10=10,7,IF(R10&lt;=15,6,IF(R10&lt;=20,5,IF(R10&lt;=25,4,IF(R10&lt;=30,3,IF(R10&lt;=40,2,IF(R10&lt;=50,1,IF(R10&gt;50,0))))))))))))))))</f>
        <v>0</v>
      </c>
      <c r="AB10">
        <f>IF(S10=1,50,IF(S10=2,25,IF(S10=3,18,IF(S10=4,16,IF(S10=5,14,IF(S10=6,12,IF(S10=7,10,IF(S10=8,9,IF(S10=10,7,IF(S10&lt;=15,6,IF(S10&lt;=20,5,IF(S10&lt;=25,4,IF(S10&lt;=30,3,IF(S10&lt;=40,2,IF(S10&lt;=50,1,IF(S10&gt;50,0))))))))))))))))</f>
        <v>0</v>
      </c>
      <c r="AC10">
        <f>IF(T10=1,50,IF(T10=2,25,IF(T10=3,18,IF(T10=4,16,IF(T10=5,14,IF(T10=6,12,IF(T10=7,10,IF(T10=8,9,IF(T10=10,7,IF(T10&lt;=15,6,IF(T10&lt;=20,5,IF(T10&lt;=25,4,IF(T10&lt;=30,3,IF(T10&lt;=40,2,IF(T10&lt;=50,1,IF(T10&gt;50,0))))))))))))))))</f>
        <v>0</v>
      </c>
      <c r="AD10">
        <f>C10*0.5</f>
        <v>114.5</v>
      </c>
      <c r="AE10">
        <f>D10*3</f>
        <v>393</v>
      </c>
      <c r="AF10">
        <f>E10*8</f>
        <v>40</v>
      </c>
      <c r="AG10">
        <f>-1*(F10/2)</f>
        <v>-11.5</v>
      </c>
      <c r="AH10">
        <f>G10*-1</f>
        <v>-7</v>
      </c>
      <c r="AI10">
        <f>H10*13</f>
        <v>0</v>
      </c>
      <c r="AJ10">
        <f>I10*5</f>
        <v>0</v>
      </c>
      <c r="AK10">
        <f>J10*-1</f>
        <v>-1</v>
      </c>
      <c r="AL10">
        <f>SUM(X10:AC10)</f>
        <v>32</v>
      </c>
      <c r="AM10">
        <f>SUM(AD10:AL10)</f>
        <v>560</v>
      </c>
      <c r="AN10">
        <f>SUM(C10:G10,J10)</f>
        <v>396</v>
      </c>
      <c r="AO10" s="1">
        <f>AM10/AN10</f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>AM11-U11</f>
        <v>-32</v>
      </c>
      <c r="X11">
        <f>IF(O11=1,50,IF(O11=2,25,IF(O11=3,18,IF(O11=4,16,IF(O11=5,14,IF(O11=6,12,IF(O11=7,10,IF(O11=8,9,IF(O11=10,7,IF(O11&lt;=15,6,IF(O11&lt;=20,5,IF(O11&lt;=25,4,IF(O11&lt;=30,3,IF(O11&lt;=40,2,IF(O11&lt;=50,1,IF(O11&gt;50,0))))))))))))))))</f>
        <v>18</v>
      </c>
      <c r="Y11">
        <f>IF(P11=1,50,IF(P11=2,25,IF(P11=3,18,IF(P11=4,16,IF(P11=5,14,IF(P11=6,12,IF(P11=7,10,IF(P11=8,9,IF(P11=10,7,IF(P11&lt;=15,6,IF(P11&lt;=20,5,IF(P11&lt;=25,4,IF(P11&lt;=30,3,IF(P11&lt;=40,2,IF(P11&lt;=50,1,IF(P11&gt;50,0))))))))))))))))</f>
        <v>4</v>
      </c>
      <c r="Z11">
        <f>IF(Q11=1,50,IF(Q11=2,25,IF(Q11=3,18,IF(Q11=4,16,IF(Q11=5,14,IF(Q11=6,12,IF(Q11=7,10,IF(Q11=8,9,IF(Q11=10,7,IF(Q11&lt;=15,6,IF(Q11&lt;=20,5,IF(Q11&lt;=25,4,IF(Q11&lt;=30,3,IF(Q11&lt;=40,2,IF(Q11&lt;=50,1,IF(Q11&gt;50,0))))))))))))))))</f>
        <v>0</v>
      </c>
      <c r="AA11">
        <f>IF(R11=1,50,IF(R11=2,25,IF(R11=3,18,IF(R11=4,16,IF(R11=5,14,IF(R11=6,12,IF(R11=7,10,IF(R11=8,9,IF(R11=10,7,IF(R11&lt;=15,6,IF(R11&lt;=20,5,IF(R11&lt;=25,4,IF(R11&lt;=30,3,IF(R11&lt;=40,2,IF(R11&lt;=50,1,IF(R11&gt;50,0))))))))))))))))</f>
        <v>0</v>
      </c>
      <c r="AB11">
        <f>IF(S11=1,50,IF(S11=2,25,IF(S11=3,18,IF(S11=4,16,IF(S11=5,14,IF(S11=6,12,IF(S11=7,10,IF(S11=8,9,IF(S11=10,7,IF(S11&lt;=15,6,IF(S11&lt;=20,5,IF(S11&lt;=25,4,IF(S11&lt;=30,3,IF(S11&lt;=40,2,IF(S11&lt;=50,1,IF(S11&gt;50,0))))))))))))))))</f>
        <v>0</v>
      </c>
      <c r="AC11">
        <f>IF(T11=1,50,IF(T11=2,25,IF(T11=3,18,IF(T11=4,16,IF(T11=5,14,IF(T11=6,12,IF(T11=7,10,IF(T11=8,9,IF(T11=10,7,IF(T11&lt;=15,6,IF(T11&lt;=20,5,IF(T11&lt;=25,4,IF(T11&lt;=30,3,IF(T11&lt;=40,2,IF(T11&lt;=50,1,IF(T11&gt;50,0))))))))))))))))</f>
        <v>0</v>
      </c>
      <c r="AD11">
        <f>C11*0.5</f>
        <v>103</v>
      </c>
      <c r="AE11">
        <f>D11*3</f>
        <v>360</v>
      </c>
      <c r="AF11">
        <f>E11*8</f>
        <v>24</v>
      </c>
      <c r="AG11">
        <f>-1*(F11/2)</f>
        <v>-12.5</v>
      </c>
      <c r="AH11">
        <f>G11*-1</f>
        <v>-4</v>
      </c>
      <c r="AI11">
        <f>H11*13</f>
        <v>0</v>
      </c>
      <c r="AJ11">
        <f>I11*5</f>
        <v>0</v>
      </c>
      <c r="AK11">
        <f>J11*-1</f>
        <v>-2</v>
      </c>
      <c r="AL11">
        <f>SUM(X11:AC11)</f>
        <v>22</v>
      </c>
      <c r="AM11">
        <f>SUM(AD11:AL11)</f>
        <v>490.5</v>
      </c>
      <c r="AN11">
        <f>SUM(C11:G11,J11)</f>
        <v>360</v>
      </c>
      <c r="AO11" s="1">
        <f>AM11/AN11</f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>AM12-U12</f>
        <v>-22.5</v>
      </c>
      <c r="X12">
        <f>IF(O12=1,50,IF(O12=2,25,IF(O12=3,18,IF(O12=4,16,IF(O12=5,14,IF(O12=6,12,IF(O12=7,10,IF(O12=8,9,IF(O12=10,7,IF(O12&lt;=15,6,IF(O12&lt;=20,5,IF(O12&lt;=25,4,IF(O12&lt;=30,3,IF(O12&lt;=40,2,IF(O12&lt;=50,1,IF(O12&gt;50,0))))))))))))))))</f>
        <v>4</v>
      </c>
      <c r="Y12">
        <f>IF(P12=1,50,IF(P12=2,25,IF(P12=3,18,IF(P12=4,16,IF(P12=5,14,IF(P12=6,12,IF(P12=7,10,IF(P12=8,9,IF(P12=10,7,IF(P12&lt;=15,6,IF(P12&lt;=20,5,IF(P12&lt;=25,4,IF(P12&lt;=30,3,IF(P12&lt;=40,2,IF(P12&lt;=50,1,IF(P12&gt;50,0))))))))))))))))</f>
        <v>2</v>
      </c>
      <c r="Z12">
        <f>IF(Q12=1,50,IF(Q12=2,25,IF(Q12=3,18,IF(Q12=4,16,IF(Q12=5,14,IF(Q12=6,12,IF(Q12=7,10,IF(Q12=8,9,IF(Q12=10,7,IF(Q12&lt;=15,6,IF(Q12&lt;=20,5,IF(Q12&lt;=25,4,IF(Q12&lt;=30,3,IF(Q12&lt;=40,2,IF(Q12&lt;=50,1,IF(Q12&gt;50,0))))))))))))))))</f>
        <v>1</v>
      </c>
      <c r="AA12">
        <f>IF(R12=1,50,IF(R12=2,25,IF(R12=3,18,IF(R12=4,16,IF(R12=5,14,IF(R12=6,12,IF(R12=7,10,IF(R12=8,9,IF(R12=10,7,IF(R12&lt;=15,6,IF(R12&lt;=20,5,IF(R12&lt;=25,4,IF(R12&lt;=30,3,IF(R12&lt;=40,2,IF(R12&lt;=50,1,IF(R12&gt;50,0))))))))))))))))</f>
        <v>1</v>
      </c>
      <c r="AB12">
        <f>IF(S12=1,50,IF(S12=2,25,IF(S12=3,18,IF(S12=4,16,IF(S12=5,14,IF(S12=6,12,IF(S12=7,10,IF(S12=8,9,IF(S12=10,7,IF(S12&lt;=15,6,IF(S12&lt;=20,5,IF(S12&lt;=25,4,IF(S12&lt;=30,3,IF(S12&lt;=40,2,IF(S12&lt;=50,1,IF(S12&gt;50,0))))))))))))))))</f>
        <v>0</v>
      </c>
      <c r="AC12">
        <f>IF(T12=1,50,IF(T12=2,25,IF(T12=3,18,IF(T12=4,16,IF(T12=5,14,IF(T12=6,12,IF(T12=7,10,IF(T12=8,9,IF(T12=10,7,IF(T12&lt;=15,6,IF(T12&lt;=20,5,IF(T12&lt;=25,4,IF(T12&lt;=30,3,IF(T12&lt;=40,2,IF(T12&lt;=50,1,IF(T12&gt;50,0))))))))))))))))</f>
        <v>0</v>
      </c>
      <c r="AD12">
        <f>C12*0.5</f>
        <v>117</v>
      </c>
      <c r="AE12">
        <f>D12*3</f>
        <v>366</v>
      </c>
      <c r="AF12">
        <f>E12*8</f>
        <v>32</v>
      </c>
      <c r="AG12">
        <f>-1*(F12/2)</f>
        <v>-13</v>
      </c>
      <c r="AH12">
        <f>G12*-1</f>
        <v>-8</v>
      </c>
      <c r="AI12">
        <f>H12*13</f>
        <v>0</v>
      </c>
      <c r="AJ12">
        <f>I12*5</f>
        <v>0</v>
      </c>
      <c r="AK12">
        <f>J12*-1</f>
        <v>-2</v>
      </c>
      <c r="AL12">
        <f>SUM(X12:AC12)</f>
        <v>8</v>
      </c>
      <c r="AM12">
        <f>SUM(AD12:AL12)</f>
        <v>500</v>
      </c>
      <c r="AN12">
        <f>SUM(C12:G12,J12)</f>
        <v>396</v>
      </c>
      <c r="AO12" s="1">
        <f>AM12/AN12</f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>AM13-U13</f>
        <v>61</v>
      </c>
      <c r="X13">
        <f>IF(O13=1,50,IF(O13=2,25,IF(O13=3,18,IF(O13=4,16,IF(O13=5,14,IF(O13=6,12,IF(O13=7,10,IF(O13=8,9,IF(O13=10,7,IF(O13&lt;=15,6,IF(O13&lt;=20,5,IF(O13&lt;=25,4,IF(O13&lt;=30,3,IF(O13&lt;=40,2,IF(O13&lt;=50,1,IF(O13&gt;50,0))))))))))))))))</f>
        <v>25</v>
      </c>
      <c r="Y13">
        <f>IF(P13=1,50,IF(P13=2,25,IF(P13=3,18,IF(P13=4,16,IF(P13=5,14,IF(P13=6,12,IF(P13=7,10,IF(P13=8,9,IF(P13=10,7,IF(P13&lt;=15,6,IF(P13&lt;=20,5,IF(P13&lt;=25,4,IF(P13&lt;=30,3,IF(P13&lt;=40,2,IF(P13&lt;=50,1,IF(P13&gt;50,0))))))))))))))))</f>
        <v>6</v>
      </c>
      <c r="Z13">
        <f>IF(Q13=1,50,IF(Q13=2,25,IF(Q13=3,18,IF(Q13=4,16,IF(Q13=5,14,IF(Q13=6,12,IF(Q13=7,10,IF(Q13=8,9,IF(Q13=10,7,IF(Q13&lt;=15,6,IF(Q13&lt;=20,5,IF(Q13&lt;=25,4,IF(Q13&lt;=30,3,IF(Q13&lt;=40,2,IF(Q13&lt;=50,1,IF(Q13&gt;50,0))))))))))))))))</f>
        <v>6</v>
      </c>
      <c r="AA13">
        <f>IF(R13=1,50,IF(R13=2,25,IF(R13=3,18,IF(R13=4,16,IF(R13=5,14,IF(R13=6,12,IF(R13=7,10,IF(R13=8,9,IF(R13=10,7,IF(R13&lt;=15,6,IF(R13&lt;=20,5,IF(R13&lt;=25,4,IF(R13&lt;=30,3,IF(R13&lt;=40,2,IF(R13&lt;=50,1,IF(R13&gt;50,0))))))))))))))))</f>
        <v>5</v>
      </c>
      <c r="AB13">
        <f>IF(S13=1,50,IF(S13=2,25,IF(S13=3,18,IF(S13=4,16,IF(S13=5,14,IF(S13=6,12,IF(S13=7,10,IF(S13=8,9,IF(S13=10,7,IF(S13&lt;=15,6,IF(S13&lt;=20,5,IF(S13&lt;=25,4,IF(S13&lt;=30,3,IF(S13&lt;=40,2,IF(S13&lt;=50,1,IF(S13&gt;50,0))))))))))))))))</f>
        <v>0</v>
      </c>
      <c r="AC13">
        <f>IF(T13=1,50,IF(T13=2,25,IF(T13=3,18,IF(T13=4,16,IF(T13=5,14,IF(T13=6,12,IF(T13=7,10,IF(T13=8,9,IF(T13=10,7,IF(T13&lt;=15,6,IF(T13&lt;=20,5,IF(T13&lt;=25,4,IF(T13&lt;=30,3,IF(T13&lt;=40,2,IF(T13&lt;=50,1,IF(T13&gt;50,0))))))))))))))))</f>
        <v>0</v>
      </c>
      <c r="AD13">
        <f>C13*0.5</f>
        <v>121</v>
      </c>
      <c r="AE13">
        <f>D13*3</f>
        <v>384</v>
      </c>
      <c r="AF13">
        <f>E13*8</f>
        <v>48</v>
      </c>
      <c r="AG13">
        <f>-1*(F13/2)</f>
        <v>-8.5</v>
      </c>
      <c r="AH13">
        <f>G13*-1</f>
        <v>-3</v>
      </c>
      <c r="AI13">
        <f>H13*13</f>
        <v>0</v>
      </c>
      <c r="AJ13">
        <f>I13*5</f>
        <v>0</v>
      </c>
      <c r="AK13">
        <f>J13*-1</f>
        <v>0</v>
      </c>
      <c r="AL13">
        <f>SUM(X13:AC13)</f>
        <v>42</v>
      </c>
      <c r="AM13">
        <f>SUM(AD13:AL13)</f>
        <v>583.5</v>
      </c>
      <c r="AN13">
        <f>SUM(C13:G13,J13)</f>
        <v>396</v>
      </c>
      <c r="AO13" s="1">
        <f>AM13/AN13</f>
        <v>1.4734848484848484</v>
      </c>
    </row>
    <row r="14" spans="1:41" x14ac:dyDescent="0.25">
      <c r="A14" t="s">
        <v>30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>AM14-U14</f>
        <v>-91</v>
      </c>
      <c r="X14">
        <f>IF(O14=1,50,IF(O14=2,25,IF(O14=3,18,IF(O14=4,16,IF(O14=5,14,IF(O14=6,12,IF(O14=7,10,IF(O14=8,9,IF(O14=10,7,IF(O14&lt;=15,6,IF(O14&lt;=20,5,IF(O14&lt;=25,4,IF(O14&lt;=30,3,IF(O14&lt;=40,2,IF(O14&lt;=50,1,IF(O14&gt;50,0))))))))))))))))</f>
        <v>4</v>
      </c>
      <c r="Y14">
        <f>IF(P14=1,50,IF(P14=2,25,IF(P14=3,18,IF(P14=4,16,IF(P14=5,14,IF(P14=6,12,IF(P14=7,10,IF(P14=8,9,IF(P14=10,7,IF(P14&lt;=15,6,IF(P14&lt;=20,5,IF(P14&lt;=25,4,IF(P14&lt;=30,3,IF(P14&lt;=40,2,IF(P14&lt;=50,1,IF(P14&gt;50,0))))))))))))))))</f>
        <v>2</v>
      </c>
      <c r="Z14">
        <f>IF(Q14=1,50,IF(Q14=2,25,IF(Q14=3,18,IF(Q14=4,16,IF(Q14=5,14,IF(Q14=6,12,IF(Q14=7,10,IF(Q14=8,9,IF(Q14=10,7,IF(Q14&lt;=15,6,IF(Q14&lt;=20,5,IF(Q14&lt;=25,4,IF(Q14&lt;=30,3,IF(Q14&lt;=40,2,IF(Q14&lt;=50,1,IF(Q14&gt;50,0))))))))))))))))</f>
        <v>0</v>
      </c>
      <c r="AA14">
        <f>IF(R14=1,50,IF(R14=2,25,IF(R14=3,18,IF(R14=4,16,IF(R14=5,14,IF(R14=6,12,IF(R14=7,10,IF(R14=8,9,IF(R14=10,7,IF(R14&lt;=15,6,IF(R14&lt;=20,5,IF(R14&lt;=25,4,IF(R14&lt;=30,3,IF(R14&lt;=40,2,IF(R14&lt;=50,1,IF(R14&gt;50,0))))))))))))))))</f>
        <v>0</v>
      </c>
      <c r="AB14">
        <f>IF(S14=1,50,IF(S14=2,25,IF(S14=3,18,IF(S14=4,16,IF(S14=5,14,IF(S14=6,12,IF(S14=7,10,IF(S14=8,9,IF(S14=10,7,IF(S14&lt;=15,6,IF(S14&lt;=20,5,IF(S14&lt;=25,4,IF(S14&lt;=30,3,IF(S14&lt;=40,2,IF(S14&lt;=50,1,IF(S14&gt;50,0))))))))))))))))</f>
        <v>0</v>
      </c>
      <c r="AC14">
        <f>IF(T14=1,50,IF(T14=2,25,IF(T14=3,18,IF(T14=4,16,IF(T14=5,14,IF(T14=6,12,IF(T14=7,10,IF(T14=8,9,IF(T14=10,7,IF(T14&lt;=15,6,IF(T14&lt;=20,5,IF(T14&lt;=25,4,IF(T14&lt;=30,3,IF(T14&lt;=40,2,IF(T14&lt;=50,1,IF(T14&gt;50,0))))))))))))))))</f>
        <v>0</v>
      </c>
      <c r="AD14">
        <f>C14*0.5</f>
        <v>116.5</v>
      </c>
      <c r="AE14">
        <f>D14*3</f>
        <v>309</v>
      </c>
      <c r="AF14">
        <f>E14*8</f>
        <v>24</v>
      </c>
      <c r="AG14">
        <f>-1*(F14/2)</f>
        <v>-15</v>
      </c>
      <c r="AH14">
        <f>G14*-1</f>
        <v>-6</v>
      </c>
      <c r="AI14">
        <f>H14*13</f>
        <v>0</v>
      </c>
      <c r="AJ14">
        <f>I14*5</f>
        <v>0</v>
      </c>
      <c r="AK14">
        <f>J14*-1</f>
        <v>-3</v>
      </c>
      <c r="AL14">
        <f>SUM(X14:AC14)</f>
        <v>6</v>
      </c>
      <c r="AM14">
        <f>SUM(AD14:AL14)</f>
        <v>431.5</v>
      </c>
      <c r="AN14">
        <f>SUM(C14:G14,J14)</f>
        <v>378</v>
      </c>
      <c r="AO14" s="1">
        <f>AM14/AN14</f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>AM15-U15</f>
        <v>28.5</v>
      </c>
      <c r="X15">
        <f>IF(O15=1,50,IF(O15=2,25,IF(O15=3,18,IF(O15=4,16,IF(O15=5,14,IF(O15=6,12,IF(O15=7,10,IF(O15=8,9,IF(O15=10,7,IF(O15&lt;=15,6,IF(O15&lt;=20,5,IF(O15&lt;=25,4,IF(O15&lt;=30,3,IF(O15&lt;=40,2,IF(O15&lt;=50,1,IF(O15&gt;50,0))))))))))))))))</f>
        <v>6</v>
      </c>
      <c r="Y15">
        <f>IF(P15=1,50,IF(P15=2,25,IF(P15=3,18,IF(P15=4,16,IF(P15=5,14,IF(P15=6,12,IF(P15=7,10,IF(P15=8,9,IF(P15=10,7,IF(P15&lt;=15,6,IF(P15&lt;=20,5,IF(P15&lt;=25,4,IF(P15&lt;=30,3,IF(P15&lt;=40,2,IF(P15&lt;=50,1,IF(P15&gt;50,0))))))))))))))))</f>
        <v>4</v>
      </c>
      <c r="Z15">
        <f>IF(Q15=1,50,IF(Q15=2,25,IF(Q15=3,18,IF(Q15=4,16,IF(Q15=5,14,IF(Q15=6,12,IF(Q15=7,10,IF(Q15=8,9,IF(Q15=10,7,IF(Q15&lt;=15,6,IF(Q15&lt;=20,5,IF(Q15&lt;=25,4,IF(Q15&lt;=30,3,IF(Q15&lt;=40,2,IF(Q15&lt;=50,1,IF(Q15&gt;50,0))))))))))))))))</f>
        <v>4</v>
      </c>
      <c r="AA15">
        <f>IF(R15=1,50,IF(R15=2,25,IF(R15=3,18,IF(R15=4,16,IF(R15=5,14,IF(R15=6,12,IF(R15=7,10,IF(R15=8,9,IF(R15=10,7,IF(R15&lt;=15,6,IF(R15&lt;=20,5,IF(R15&lt;=25,4,IF(R15&lt;=30,3,IF(R15&lt;=40,2,IF(R15&lt;=50,1,IF(R15&gt;50,0))))))))))))))))</f>
        <v>2</v>
      </c>
      <c r="AB15">
        <f>IF(S15=1,50,IF(S15=2,25,IF(S15=3,18,IF(S15=4,16,IF(S15=5,14,IF(S15=6,12,IF(S15=7,10,IF(S15=8,9,IF(S15=10,7,IF(S15&lt;=15,6,IF(S15&lt;=20,5,IF(S15&lt;=25,4,IF(S15&lt;=30,3,IF(S15&lt;=40,2,IF(S15&lt;=50,1,IF(S15&gt;50,0))))))))))))))))</f>
        <v>0</v>
      </c>
      <c r="AC15">
        <f>IF(T15=1,50,IF(T15=2,25,IF(T15=3,18,IF(T15=4,16,IF(T15=5,14,IF(T15=6,12,IF(T15=7,10,IF(T15=8,9,IF(T15=10,7,IF(T15&lt;=15,6,IF(T15&lt;=20,5,IF(T15&lt;=25,4,IF(T15&lt;=30,3,IF(T15&lt;=40,2,IF(T15&lt;=50,1,IF(T15&gt;50,0))))))))))))))))</f>
        <v>0</v>
      </c>
      <c r="AD15">
        <f>C15*0.5</f>
        <v>118</v>
      </c>
      <c r="AE15">
        <f>D15*3</f>
        <v>408</v>
      </c>
      <c r="AF15">
        <f>E15*8</f>
        <v>32</v>
      </c>
      <c r="AG15">
        <f>-1*(F15/2)</f>
        <v>-15</v>
      </c>
      <c r="AH15">
        <f>G15*-1</f>
        <v>-8</v>
      </c>
      <c r="AI15">
        <f>H15*13</f>
        <v>0</v>
      </c>
      <c r="AJ15">
        <f>I15*5</f>
        <v>0</v>
      </c>
      <c r="AK15">
        <f>J15*-1</f>
        <v>0</v>
      </c>
      <c r="AL15">
        <f>SUM(X15:AC15)</f>
        <v>16</v>
      </c>
      <c r="AM15">
        <f>SUM(AD15:AL15)</f>
        <v>551</v>
      </c>
      <c r="AN15">
        <f>SUM(C15:G15,J15)</f>
        <v>414</v>
      </c>
      <c r="AO15" s="1">
        <f>AM15/AN15</f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>AM16-U16</f>
        <v>22.5</v>
      </c>
      <c r="X16">
        <f>IF(O16=1,50,IF(O16=2,25,IF(O16=3,18,IF(O16=4,16,IF(O16=5,14,IF(O16=6,12,IF(O16=7,10,IF(O16=8,9,IF(O16=10,7,IF(O16&lt;=15,6,IF(O16&lt;=20,5,IF(O16&lt;=25,4,IF(O16&lt;=30,3,IF(O16&lt;=40,2,IF(O16&lt;=50,1,IF(O16&gt;50,0))))))))))))))))</f>
        <v>12</v>
      </c>
      <c r="Y16">
        <f>IF(P16=1,50,IF(P16=2,25,IF(P16=3,18,IF(P16=4,16,IF(P16=5,14,IF(P16=6,12,IF(P16=7,10,IF(P16=8,9,IF(P16=10,7,IF(P16&lt;=15,6,IF(P16&lt;=20,5,IF(P16&lt;=25,4,IF(P16&lt;=30,3,IF(P16&lt;=40,2,IF(P16&lt;=50,1,IF(P16&gt;50,0))))))))))))))))</f>
        <v>6</v>
      </c>
      <c r="Z16">
        <f>IF(Q16=1,50,IF(Q16=2,25,IF(Q16=3,18,IF(Q16=4,16,IF(Q16=5,14,IF(Q16=6,12,IF(Q16=7,10,IF(Q16=8,9,IF(Q16=10,7,IF(Q16&lt;=15,6,IF(Q16&lt;=20,5,IF(Q16&lt;=25,4,IF(Q16&lt;=30,3,IF(Q16&lt;=40,2,IF(Q16&lt;=50,1,IF(Q16&gt;50,0))))))))))))))))</f>
        <v>4</v>
      </c>
      <c r="AA16">
        <f>IF(R16=1,50,IF(R16=2,25,IF(R16=3,18,IF(R16=4,16,IF(R16=5,14,IF(R16=6,12,IF(R16=7,10,IF(R16=8,9,IF(R16=10,7,IF(R16&lt;=15,6,IF(R16&lt;=20,5,IF(R16&lt;=25,4,IF(R16&lt;=30,3,IF(R16&lt;=40,2,IF(R16&lt;=50,1,IF(R16&gt;50,0))))))))))))))))</f>
        <v>1</v>
      </c>
      <c r="AB16">
        <f>IF(S16=1,50,IF(S16=2,25,IF(S16=3,18,IF(S16=4,16,IF(S16=5,14,IF(S16=6,12,IF(S16=7,10,IF(S16=8,9,IF(S16=10,7,IF(S16&lt;=15,6,IF(S16&lt;=20,5,IF(S16&lt;=25,4,IF(S16&lt;=30,3,IF(S16&lt;=40,2,IF(S16&lt;=50,1,IF(S16&gt;50,0))))))))))))))))</f>
        <v>0</v>
      </c>
      <c r="AC16">
        <f>IF(T16=1,50,IF(T16=2,25,IF(T16=3,18,IF(T16=4,16,IF(T16=5,14,IF(T16=6,12,IF(T16=7,10,IF(T16=8,9,IF(T16=10,7,IF(T16&lt;=15,6,IF(T16&lt;=20,5,IF(T16&lt;=25,4,IF(T16&lt;=30,3,IF(T16&lt;=40,2,IF(T16&lt;=50,1,IF(T16&gt;50,0))))))))))))))))</f>
        <v>0</v>
      </c>
      <c r="AD16">
        <f>C16*0.5</f>
        <v>115</v>
      </c>
      <c r="AE16">
        <f>D16*3</f>
        <v>393</v>
      </c>
      <c r="AF16">
        <f>E16*8</f>
        <v>32</v>
      </c>
      <c r="AG16">
        <f>-1*(F16/2)</f>
        <v>-13</v>
      </c>
      <c r="AH16">
        <f>G16*-1</f>
        <v>-5</v>
      </c>
      <c r="AI16">
        <f>H16*13</f>
        <v>0</v>
      </c>
      <c r="AJ16">
        <f>I16*5</f>
        <v>0</v>
      </c>
      <c r="AK16">
        <f>J16*-1</f>
        <v>0</v>
      </c>
      <c r="AL16">
        <f>SUM(X16:AC16)</f>
        <v>23</v>
      </c>
      <c r="AM16">
        <f>SUM(AD16:AL16)</f>
        <v>545</v>
      </c>
      <c r="AN16">
        <f>SUM(C16:G16,J16)</f>
        <v>396</v>
      </c>
      <c r="AO16" s="1">
        <f>AM16/AN16</f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>AM17-U17</f>
        <v>-59</v>
      </c>
      <c r="X17">
        <f>IF(O17=1,50,IF(O17=2,25,IF(O17=3,18,IF(O17=4,16,IF(O17=5,14,IF(O17=6,12,IF(O17=7,10,IF(O17=8,9,IF(O17=10,7,IF(O17&lt;=15,6,IF(O17&lt;=20,5,IF(O17&lt;=25,4,IF(O17&lt;=30,3,IF(O17&lt;=40,2,IF(O17&lt;=50,1,IF(O17&gt;50,0))))))))))))))))</f>
        <v>4</v>
      </c>
      <c r="Y17">
        <f>IF(P17=1,50,IF(P17=2,25,IF(P17=3,18,IF(P17=4,16,IF(P17=5,14,IF(P17=6,12,IF(P17=7,10,IF(P17=8,9,IF(P17=10,7,IF(P17&lt;=15,6,IF(P17&lt;=20,5,IF(P17&lt;=25,4,IF(P17&lt;=30,3,IF(P17&lt;=40,2,IF(P17&lt;=50,1,IF(P17&gt;50,0))))))))))))))))</f>
        <v>4</v>
      </c>
      <c r="Z17">
        <f>IF(Q17=1,50,IF(Q17=2,25,IF(Q17=3,18,IF(Q17=4,16,IF(Q17=5,14,IF(Q17=6,12,IF(Q17=7,10,IF(Q17=8,9,IF(Q17=10,7,IF(Q17&lt;=15,6,IF(Q17&lt;=20,5,IF(Q17&lt;=25,4,IF(Q17&lt;=30,3,IF(Q17&lt;=40,2,IF(Q17&lt;=50,1,IF(Q17&gt;50,0))))))))))))))))</f>
        <v>0</v>
      </c>
      <c r="AA17">
        <f>IF(R17=1,50,IF(R17=2,25,IF(R17=3,18,IF(R17=4,16,IF(R17=5,14,IF(R17=6,12,IF(R17=7,10,IF(R17=8,9,IF(R17=10,7,IF(R17&lt;=15,6,IF(R17&lt;=20,5,IF(R17&lt;=25,4,IF(R17&lt;=30,3,IF(R17&lt;=40,2,IF(R17&lt;=50,1,IF(R17&gt;50,0))))))))))))))))</f>
        <v>0</v>
      </c>
      <c r="AB17">
        <f>IF(S17=1,50,IF(S17=2,25,IF(S17=3,18,IF(S17=4,16,IF(S17=5,14,IF(S17=6,12,IF(S17=7,10,IF(S17=8,9,IF(S17=10,7,IF(S17&lt;=15,6,IF(S17&lt;=20,5,IF(S17&lt;=25,4,IF(S17&lt;=30,3,IF(S17&lt;=40,2,IF(S17&lt;=50,1,IF(S17&gt;50,0))))))))))))))))</f>
        <v>0</v>
      </c>
      <c r="AC17">
        <f>IF(T17=1,50,IF(T17=2,25,IF(T17=3,18,IF(T17=4,16,IF(T17=5,14,IF(T17=6,12,IF(T17=7,10,IF(T17=8,9,IF(T17=10,7,IF(T17&lt;=15,6,IF(T17&lt;=20,5,IF(T17&lt;=25,4,IF(T17&lt;=30,3,IF(T17&lt;=40,2,IF(T17&lt;=50,1,IF(T17&gt;50,0))))))))))))))))</f>
        <v>0</v>
      </c>
      <c r="AD17">
        <f>C17*0.5</f>
        <v>118</v>
      </c>
      <c r="AE17">
        <f>D17*3</f>
        <v>339</v>
      </c>
      <c r="AF17">
        <f>E17*8</f>
        <v>16</v>
      </c>
      <c r="AG17">
        <f>-1*(F17/2)</f>
        <v>-9.5</v>
      </c>
      <c r="AH17">
        <f>G17*-1</f>
        <v>-7</v>
      </c>
      <c r="AI17">
        <f>H17*13</f>
        <v>0</v>
      </c>
      <c r="AJ17">
        <f>I17*5</f>
        <v>0</v>
      </c>
      <c r="AK17">
        <f>J17*-1</f>
        <v>-1</v>
      </c>
      <c r="AL17">
        <f>SUM(X17:AC17)</f>
        <v>8</v>
      </c>
      <c r="AM17">
        <f>SUM(AD17:AL17)</f>
        <v>463.5</v>
      </c>
      <c r="AN17">
        <f>SUM(C17:G17,J17)</f>
        <v>378</v>
      </c>
      <c r="AO17" s="1">
        <f>AM17/AN17</f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30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>AM18-U18</f>
        <v>47.699999999999989</v>
      </c>
      <c r="X18">
        <f>IF(O18=1,50,IF(O18=2,25,IF(O18=3,18,IF(O18=4,16,IF(O18=5,14,IF(O18=6,12,IF(O18=7,10,IF(O18=8,9,IF(O18=10,7,IF(O18&lt;=15,6,IF(O18&lt;=20,5,IF(O18&lt;=25,4,IF(O18&lt;=30,3,IF(O18&lt;=40,2,IF(O18&lt;=50,1,IF(O18&gt;50,0))))))))))))))))</f>
        <v>6</v>
      </c>
      <c r="Y18">
        <f>IF(P18=1,50,IF(P18=2,25,IF(P18=3,18,IF(P18=4,16,IF(P18=5,14,IF(P18=6,12,IF(P18=7,10,IF(P18=8,9,IF(P18=10,7,IF(P18&lt;=15,6,IF(P18&lt;=20,5,IF(P18&lt;=25,4,IF(P18&lt;=30,3,IF(P18&lt;=40,2,IF(P18&lt;=50,1,IF(P18&gt;50,0))))))))))))))))</f>
        <v>6</v>
      </c>
      <c r="Z18">
        <f>IF(Q18=1,50,IF(Q18=2,25,IF(Q18=3,18,IF(Q18=4,16,IF(Q18=5,14,IF(Q18=6,12,IF(Q18=7,10,IF(Q18=8,9,IF(Q18=10,7,IF(Q18&lt;=15,6,IF(Q18&lt;=20,5,IF(Q18&lt;=25,4,IF(Q18&lt;=30,3,IF(Q18&lt;=40,2,IF(Q18&lt;=50,1,IF(Q18&gt;50,0))))))))))))))))</f>
        <v>6</v>
      </c>
      <c r="AA18">
        <f>IF(R18=1,50,IF(R18=2,25,IF(R18=3,18,IF(R18=4,16,IF(R18=5,14,IF(R18=6,12,IF(R18=7,10,IF(R18=8,9,IF(R18=10,7,IF(R18&lt;=15,6,IF(R18&lt;=20,5,IF(R18&lt;=25,4,IF(R18&lt;=30,3,IF(R18&lt;=40,2,IF(R18&lt;=50,1,IF(R18&gt;50,0))))))))))))))))</f>
        <v>2</v>
      </c>
      <c r="AB18">
        <f>IF(S18=1,50,IF(S18=2,25,IF(S18=3,18,IF(S18=4,16,IF(S18=5,14,IF(S18=6,12,IF(S18=7,10,IF(S18=8,9,IF(S18=10,7,IF(S18&lt;=15,6,IF(S18&lt;=20,5,IF(S18&lt;=25,4,IF(S18&lt;=30,3,IF(S18&lt;=40,2,IF(S18&lt;=50,1,IF(S18&gt;50,0))))))))))))))))</f>
        <v>0</v>
      </c>
      <c r="AC18">
        <f>IF(T18=1,50,IF(T18=2,25,IF(T18=3,18,IF(T18=4,16,IF(T18=5,14,IF(T18=6,12,IF(T18=7,10,IF(T18=8,9,IF(T18=10,7,IF(T18&lt;=15,6,IF(T18&lt;=20,5,IF(T18&lt;=25,4,IF(T18&lt;=30,3,IF(T18&lt;=40,2,IF(T18&lt;=50,1,IF(T18&gt;50,0))))))))))))))))</f>
        <v>0</v>
      </c>
      <c r="AD18">
        <f>C18*0.5</f>
        <v>125</v>
      </c>
      <c r="AE18">
        <f>D18*3</f>
        <v>261</v>
      </c>
      <c r="AF18">
        <f>E18*8</f>
        <v>16</v>
      </c>
      <c r="AG18">
        <f>-1*(F18/2)</f>
        <v>-26.5</v>
      </c>
      <c r="AH18">
        <f>G18*-1</f>
        <v>-4</v>
      </c>
      <c r="AI18">
        <f>H18*13</f>
        <v>0</v>
      </c>
      <c r="AJ18">
        <f>I18*5</f>
        <v>0</v>
      </c>
      <c r="AK18">
        <f>J18*-1</f>
        <v>0</v>
      </c>
      <c r="AL18">
        <f>SUM(X18:AC18)</f>
        <v>20</v>
      </c>
      <c r="AM18">
        <f>SUM(AD18:AL18)</f>
        <v>391.5</v>
      </c>
      <c r="AN18">
        <f>SUM(C18:G18,J18)</f>
        <v>396</v>
      </c>
      <c r="AO18" s="1">
        <f>AM18/AN18</f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>AM19-U19</f>
        <v>9.6999999999999886</v>
      </c>
      <c r="X19">
        <f>IF(O19=1,50,IF(O19=2,25,IF(O19=3,18,IF(O19=4,16,IF(O19=5,14,IF(O19=6,12,IF(O19=7,10,IF(O19=8,9,IF(O19=10,7,IF(O19&lt;=15,6,IF(O19&lt;=20,5,IF(O19&lt;=25,4,IF(O19&lt;=30,3,IF(O19&lt;=40,2,IF(O19&lt;=50,1,IF(O19&gt;50,0))))))))))))))))</f>
        <v>6</v>
      </c>
      <c r="Y19">
        <f>IF(P19=1,50,IF(P19=2,25,IF(P19=3,18,IF(P19=4,16,IF(P19=5,14,IF(P19=6,12,IF(P19=7,10,IF(P19=8,9,IF(P19=10,7,IF(P19&lt;=15,6,IF(P19&lt;=20,5,IF(P19&lt;=25,4,IF(P19&lt;=30,3,IF(P19&lt;=40,2,IF(P19&lt;=50,1,IF(P19&gt;50,0))))))))))))))))</f>
        <v>6</v>
      </c>
      <c r="Z19">
        <f>IF(Q19=1,50,IF(Q19=2,25,IF(Q19=3,18,IF(Q19=4,16,IF(Q19=5,14,IF(Q19=6,12,IF(Q19=7,10,IF(Q19=8,9,IF(Q19=10,7,IF(Q19&lt;=15,6,IF(Q19&lt;=20,5,IF(Q19&lt;=25,4,IF(Q19&lt;=30,3,IF(Q19&lt;=40,2,IF(Q19&lt;=50,1,IF(Q19&gt;50,0))))))))))))))))</f>
        <v>1</v>
      </c>
      <c r="AA19">
        <f>IF(R19=1,50,IF(R19=2,25,IF(R19=3,18,IF(R19=4,16,IF(R19=5,14,IF(R19=6,12,IF(R19=7,10,IF(R19=8,9,IF(R19=10,7,IF(R19&lt;=15,6,IF(R19&lt;=20,5,IF(R19&lt;=25,4,IF(R19&lt;=30,3,IF(R19&lt;=40,2,IF(R19&lt;=50,1,IF(R19&gt;50,0))))))))))))))))</f>
        <v>0</v>
      </c>
      <c r="AB19">
        <f>IF(S19=1,50,IF(S19=2,25,IF(S19=3,18,IF(S19=4,16,IF(S19=5,14,IF(S19=6,12,IF(S19=7,10,IF(S19=8,9,IF(S19=10,7,IF(S19&lt;=15,6,IF(S19&lt;=20,5,IF(S19&lt;=25,4,IF(S19&lt;=30,3,IF(S19&lt;=40,2,IF(S19&lt;=50,1,IF(S19&gt;50,0))))))))))))))))</f>
        <v>0</v>
      </c>
      <c r="AC19">
        <f>IF(T19=1,50,IF(T19=2,25,IF(T19=3,18,IF(T19=4,16,IF(T19=5,14,IF(T19=6,12,IF(T19=7,10,IF(T19=8,9,IF(T19=10,7,IF(T19&lt;=15,6,IF(T19&lt;=20,5,IF(T19&lt;=25,4,IF(T19&lt;=30,3,IF(T19&lt;=40,2,IF(T19&lt;=50,1,IF(T19&gt;50,0))))))))))))))))</f>
        <v>0</v>
      </c>
      <c r="AD19">
        <f>C19*0.5</f>
        <v>121.5</v>
      </c>
      <c r="AE19">
        <f>D19*3</f>
        <v>249</v>
      </c>
      <c r="AF19">
        <f>E19*8</f>
        <v>8</v>
      </c>
      <c r="AG19">
        <f>-1*(F19/2)</f>
        <v>-31</v>
      </c>
      <c r="AH19">
        <f>G19*-1</f>
        <v>-7</v>
      </c>
      <c r="AI19">
        <f>H19*13</f>
        <v>0</v>
      </c>
      <c r="AJ19">
        <f>I19*5</f>
        <v>0</v>
      </c>
      <c r="AK19">
        <f>J19*-1</f>
        <v>0</v>
      </c>
      <c r="AL19">
        <f>SUM(X19:AC19)</f>
        <v>13</v>
      </c>
      <c r="AM19">
        <f>SUM(AD19:AL19)</f>
        <v>353.5</v>
      </c>
      <c r="AN19">
        <f>SUM(C19:G19,J19)</f>
        <v>396</v>
      </c>
      <c r="AO19" s="1">
        <f>AM19/AN19</f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>AM20-U20</f>
        <v>2.6999999999999886</v>
      </c>
      <c r="X20">
        <f>IF(O20=1,50,IF(O20=2,25,IF(O20=3,18,IF(O20=4,16,IF(O20=5,14,IF(O20=6,12,IF(O20=7,10,IF(O20=8,9,IF(O20=10,7,IF(O20&lt;=15,6,IF(O20&lt;=20,5,IF(O20&lt;=25,4,IF(O20&lt;=30,3,IF(O20&lt;=40,2,IF(O20&lt;=50,1,IF(O20&gt;50,0))))))))))))))))</f>
        <v>12</v>
      </c>
      <c r="Y20">
        <f>IF(P20=1,50,IF(P20=2,25,IF(P20=3,18,IF(P20=4,16,IF(P20=5,14,IF(P20=6,12,IF(P20=7,10,IF(P20=8,9,IF(P20=10,7,IF(P20&lt;=15,6,IF(P20&lt;=20,5,IF(P20&lt;=25,4,IF(P20&lt;=30,3,IF(P20&lt;=40,2,IF(P20&lt;=50,1,IF(P20&gt;50,0))))))))))))))))</f>
        <v>6</v>
      </c>
      <c r="Z20">
        <f>IF(Q20=1,50,IF(Q20=2,25,IF(Q20=3,18,IF(Q20=4,16,IF(Q20=5,14,IF(Q20=6,12,IF(Q20=7,10,IF(Q20=8,9,IF(Q20=10,7,IF(Q20&lt;=15,6,IF(Q20&lt;=20,5,IF(Q20&lt;=25,4,IF(Q20&lt;=30,3,IF(Q20&lt;=40,2,IF(Q20&lt;=50,1,IF(Q20&gt;50,0))))))))))))))))</f>
        <v>1</v>
      </c>
      <c r="AA20">
        <f>IF(R20=1,50,IF(R20=2,25,IF(R20=3,18,IF(R20=4,16,IF(R20=5,14,IF(R20=6,12,IF(R20=7,10,IF(R20=8,9,IF(R20=10,7,IF(R20&lt;=15,6,IF(R20&lt;=20,5,IF(R20&lt;=25,4,IF(R20&lt;=30,3,IF(R20&lt;=40,2,IF(R20&lt;=50,1,IF(R20&gt;50,0))))))))))))))))</f>
        <v>0</v>
      </c>
      <c r="AB20">
        <f>IF(S20=1,50,IF(S20=2,25,IF(S20=3,18,IF(S20=4,16,IF(S20=5,14,IF(S20=6,12,IF(S20=7,10,IF(S20=8,9,IF(S20=10,7,IF(S20&lt;=15,6,IF(S20&lt;=20,5,IF(S20&lt;=25,4,IF(S20&lt;=30,3,IF(S20&lt;=40,2,IF(S20&lt;=50,1,IF(S20&gt;50,0))))))))))))))))</f>
        <v>0</v>
      </c>
      <c r="AC20">
        <f>IF(T20=1,50,IF(T20=2,25,IF(T20=3,18,IF(T20=4,16,IF(T20=5,14,IF(T20=6,12,IF(T20=7,10,IF(T20=8,9,IF(T20=10,7,IF(T20&lt;=15,6,IF(T20&lt;=20,5,IF(T20&lt;=25,4,IF(T20&lt;=30,3,IF(T20&lt;=40,2,IF(T20&lt;=50,1,IF(T20&gt;50,0))))))))))))))))</f>
        <v>0</v>
      </c>
      <c r="AD20">
        <f>C20*0.5</f>
        <v>115</v>
      </c>
      <c r="AE20">
        <f>D20*3</f>
        <v>210</v>
      </c>
      <c r="AF20">
        <f>E20*8</f>
        <v>32</v>
      </c>
      <c r="AG20">
        <f>-1*(F20/2)</f>
        <v>-26.5</v>
      </c>
      <c r="AH20">
        <f>G20*-1</f>
        <v>-3</v>
      </c>
      <c r="AI20">
        <f>H20*13</f>
        <v>0</v>
      </c>
      <c r="AJ20">
        <f>I20*5</f>
        <v>0</v>
      </c>
      <c r="AK20">
        <f>J20*-1</f>
        <v>0</v>
      </c>
      <c r="AL20">
        <f>SUM(X20:AC20)</f>
        <v>19</v>
      </c>
      <c r="AM20">
        <f>SUM(AD20:AL20)</f>
        <v>346.5</v>
      </c>
      <c r="AN20">
        <f>SUM(C20:G20,J20)</f>
        <v>360</v>
      </c>
      <c r="AO20" s="1">
        <f>AM20/AN20</f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>AM21-U21</f>
        <v>-2.8000000000000114</v>
      </c>
      <c r="X21">
        <f>IF(O21=1,50,IF(O21=2,25,IF(O21=3,18,IF(O21=4,16,IF(O21=5,14,IF(O21=6,12,IF(O21=7,10,IF(O21=8,9,IF(O21=10,7,IF(O21&lt;=15,6,IF(O21&lt;=20,5,IF(O21&lt;=25,4,IF(O21&lt;=30,3,IF(O21&lt;=40,2,IF(O21&lt;=50,1,IF(O21&gt;50,0))))))))))))))))</f>
        <v>6</v>
      </c>
      <c r="Y21">
        <f>IF(P21=1,50,IF(P21=2,25,IF(P21=3,18,IF(P21=4,16,IF(P21=5,14,IF(P21=6,12,IF(P21=7,10,IF(P21=8,9,IF(P21=10,7,IF(P21&lt;=15,6,IF(P21&lt;=20,5,IF(P21&lt;=25,4,IF(P21&lt;=30,3,IF(P21&lt;=40,2,IF(P21&lt;=50,1,IF(P21&gt;50,0))))))))))))))))</f>
        <v>5</v>
      </c>
      <c r="Z21">
        <f>IF(Q21=1,50,IF(Q21=2,25,IF(Q21=3,18,IF(Q21=4,16,IF(Q21=5,14,IF(Q21=6,12,IF(Q21=7,10,IF(Q21=8,9,IF(Q21=10,7,IF(Q21&lt;=15,6,IF(Q21&lt;=20,5,IF(Q21&lt;=25,4,IF(Q21&lt;=30,3,IF(Q21&lt;=40,2,IF(Q21&lt;=50,1,IF(Q21&gt;50,0))))))))))))))))</f>
        <v>2</v>
      </c>
      <c r="AA21">
        <f>IF(R21=1,50,IF(R21=2,25,IF(R21=3,18,IF(R21=4,16,IF(R21=5,14,IF(R21=6,12,IF(R21=7,10,IF(R21=8,9,IF(R21=10,7,IF(R21&lt;=15,6,IF(R21&lt;=20,5,IF(R21&lt;=25,4,IF(R21&lt;=30,3,IF(R21&lt;=40,2,IF(R21&lt;=50,1,IF(R21&gt;50,0))))))))))))))))</f>
        <v>0</v>
      </c>
      <c r="AB21">
        <f>IF(S21=1,50,IF(S21=2,25,IF(S21=3,18,IF(S21=4,16,IF(S21=5,14,IF(S21=6,12,IF(S21=7,10,IF(S21=8,9,IF(S21=10,7,IF(S21&lt;=15,6,IF(S21&lt;=20,5,IF(S21&lt;=25,4,IF(S21&lt;=30,3,IF(S21&lt;=40,2,IF(S21&lt;=50,1,IF(S21&gt;50,0))))))))))))))))</f>
        <v>0</v>
      </c>
      <c r="AC21">
        <f>IF(T21=1,50,IF(T21=2,25,IF(T21=3,18,IF(T21=4,16,IF(T21=5,14,IF(T21=6,12,IF(T21=7,10,IF(T21=8,9,IF(T21=10,7,IF(T21&lt;=15,6,IF(T21&lt;=20,5,IF(T21&lt;=25,4,IF(T21&lt;=30,3,IF(T21&lt;=40,2,IF(T21&lt;=50,1,IF(T21&gt;50,0))))))))))))))))</f>
        <v>0</v>
      </c>
      <c r="AD21">
        <f>C21*0.5</f>
        <v>114.5</v>
      </c>
      <c r="AE21">
        <f>D21*3</f>
        <v>225</v>
      </c>
      <c r="AF21">
        <f>E21*8</f>
        <v>16</v>
      </c>
      <c r="AG21">
        <f>-1*(F21/2)</f>
        <v>-26.5</v>
      </c>
      <c r="AH21">
        <f>G21*-1</f>
        <v>-1</v>
      </c>
      <c r="AI21">
        <f>H21*13</f>
        <v>0</v>
      </c>
      <c r="AJ21">
        <f>I21*5</f>
        <v>0</v>
      </c>
      <c r="AK21">
        <f>J21*-1</f>
        <v>0</v>
      </c>
      <c r="AL21">
        <f>SUM(X21:AC21)</f>
        <v>13</v>
      </c>
      <c r="AM21">
        <f>SUM(AD21:AL21)</f>
        <v>341</v>
      </c>
      <c r="AN21">
        <f>SUM(C21:G21,J21)</f>
        <v>360</v>
      </c>
      <c r="AO21" s="1">
        <f>AM21/AN21</f>
        <v>0.94722222222222219</v>
      </c>
    </row>
    <row r="22" spans="1:41" x14ac:dyDescent="0.25">
      <c r="A22" t="s">
        <v>30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>AM22-U22</f>
        <v>-33.300000000000011</v>
      </c>
      <c r="X22">
        <f>IF(O22=1,50,IF(O22=2,25,IF(O22=3,18,IF(O22=4,16,IF(O22=5,14,IF(O22=6,12,IF(O22=7,10,IF(O22=8,9,IF(O22=10,7,IF(O22&lt;=15,6,IF(O22&lt;=20,5,IF(O22&lt;=25,4,IF(O22&lt;=30,3,IF(O22&lt;=40,2,IF(O22&lt;=50,1,IF(O22&gt;50,0))))))))))))))))</f>
        <v>12</v>
      </c>
      <c r="Y22">
        <f>IF(P22=1,50,IF(P22=2,25,IF(P22=3,18,IF(P22=4,16,IF(P22=5,14,IF(P22=6,12,IF(P22=7,10,IF(P22=8,9,IF(P22=10,7,IF(P22&lt;=15,6,IF(P22&lt;=20,5,IF(P22&lt;=25,4,IF(P22&lt;=30,3,IF(P22&lt;=40,2,IF(P22&lt;=50,1,IF(P22&gt;50,0))))))))))))))))</f>
        <v>4</v>
      </c>
      <c r="Z22">
        <f>IF(Q22=1,50,IF(Q22=2,25,IF(Q22=3,18,IF(Q22=4,16,IF(Q22=5,14,IF(Q22=6,12,IF(Q22=7,10,IF(Q22=8,9,IF(Q22=10,7,IF(Q22&lt;=15,6,IF(Q22&lt;=20,5,IF(Q22&lt;=25,4,IF(Q22&lt;=30,3,IF(Q22&lt;=40,2,IF(Q22&lt;=50,1,IF(Q22&gt;50,0))))))))))))))))</f>
        <v>2</v>
      </c>
      <c r="AA22">
        <f>IF(R22=1,50,IF(R22=2,25,IF(R22=3,18,IF(R22=4,16,IF(R22=5,14,IF(R22=6,12,IF(R22=7,10,IF(R22=8,9,IF(R22=10,7,IF(R22&lt;=15,6,IF(R22&lt;=20,5,IF(R22&lt;=25,4,IF(R22&lt;=30,3,IF(R22&lt;=40,2,IF(R22&lt;=50,1,IF(R22&gt;50,0))))))))))))))))</f>
        <v>0</v>
      </c>
      <c r="AB22">
        <f>IF(S22=1,50,IF(S22=2,25,IF(S22=3,18,IF(S22=4,16,IF(S22=5,14,IF(S22=6,12,IF(S22=7,10,IF(S22=8,9,IF(S22=10,7,IF(S22&lt;=15,6,IF(S22&lt;=20,5,IF(S22&lt;=25,4,IF(S22&lt;=30,3,IF(S22&lt;=40,2,IF(S22&lt;=50,1,IF(S22&gt;50,0))))))))))))))))</f>
        <v>0</v>
      </c>
      <c r="AC22">
        <f>IF(T22=1,50,IF(T22=2,25,IF(T22=3,18,IF(T22=4,16,IF(T22=5,14,IF(T22=6,12,IF(T22=7,10,IF(T22=8,9,IF(T22=10,7,IF(T22&lt;=15,6,IF(T22&lt;=20,5,IF(T22&lt;=25,4,IF(T22&lt;=30,3,IF(T22&lt;=40,2,IF(T22&lt;=50,1,IF(T22&gt;50,0))))))))))))))))</f>
        <v>0</v>
      </c>
      <c r="AD22">
        <f>C22*0.5</f>
        <v>105</v>
      </c>
      <c r="AE22">
        <f>D22*3</f>
        <v>195</v>
      </c>
      <c r="AF22">
        <f>E22*8</f>
        <v>16</v>
      </c>
      <c r="AG22">
        <f>-1*(F22/2)</f>
        <v>-23.5</v>
      </c>
      <c r="AH22">
        <f>G22*-1</f>
        <v>0</v>
      </c>
      <c r="AI22">
        <f>H22*13</f>
        <v>0</v>
      </c>
      <c r="AJ22">
        <f>I22*5</f>
        <v>0</v>
      </c>
      <c r="AK22">
        <f>J22*-1</f>
        <v>0</v>
      </c>
      <c r="AL22">
        <f>SUM(X22:AC22)</f>
        <v>18</v>
      </c>
      <c r="AM22">
        <f>SUM(AD22:AL22)</f>
        <v>310.5</v>
      </c>
      <c r="AN22">
        <f>SUM(C22:G22,J22)</f>
        <v>324</v>
      </c>
      <c r="AO22" s="1">
        <f>AM22/AN22</f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>AM23-U23</f>
        <v>-62.300000000000011</v>
      </c>
      <c r="X23">
        <f>IF(O23=1,50,IF(O23=2,25,IF(O23=3,18,IF(O23=4,16,IF(O23=5,14,IF(O23=6,12,IF(O23=7,10,IF(O23=8,9,IF(O23=10,7,IF(O23&lt;=15,6,IF(O23&lt;=20,5,IF(O23&lt;=25,4,IF(O23&lt;=30,3,IF(O23&lt;=40,2,IF(O23&lt;=50,1,IF(O23&gt;50,0))))))))))))))))</f>
        <v>18</v>
      </c>
      <c r="Y23">
        <f>IF(P23=1,50,IF(P23=2,25,IF(P23=3,18,IF(P23=4,16,IF(P23=5,14,IF(P23=6,12,IF(P23=7,10,IF(P23=8,9,IF(P23=10,7,IF(P23&lt;=15,6,IF(P23&lt;=20,5,IF(P23&lt;=25,4,IF(P23&lt;=30,3,IF(P23&lt;=40,2,IF(P23&lt;=50,1,IF(P23&gt;50,0))))))))))))))))</f>
        <v>0</v>
      </c>
      <c r="Z23">
        <f>IF(Q23=1,50,IF(Q23=2,25,IF(Q23=3,18,IF(Q23=4,16,IF(Q23=5,14,IF(Q23=6,12,IF(Q23=7,10,IF(Q23=8,9,IF(Q23=10,7,IF(Q23&lt;=15,6,IF(Q23&lt;=20,5,IF(Q23&lt;=25,4,IF(Q23&lt;=30,3,IF(Q23&lt;=40,2,IF(Q23&lt;=50,1,IF(Q23&gt;50,0))))))))))))))))</f>
        <v>0</v>
      </c>
      <c r="AA23">
        <f>IF(R23=1,50,IF(R23=2,25,IF(R23=3,18,IF(R23=4,16,IF(R23=5,14,IF(R23=6,12,IF(R23=7,10,IF(R23=8,9,IF(R23=10,7,IF(R23&lt;=15,6,IF(R23&lt;=20,5,IF(R23&lt;=25,4,IF(R23&lt;=30,3,IF(R23&lt;=40,2,IF(R23&lt;=50,1,IF(R23&gt;50,0))))))))))))))))</f>
        <v>0</v>
      </c>
      <c r="AB23">
        <f>IF(S23=1,50,IF(S23=2,25,IF(S23=3,18,IF(S23=4,16,IF(S23=5,14,IF(S23=6,12,IF(S23=7,10,IF(S23=8,9,IF(S23=10,7,IF(S23&lt;=15,6,IF(S23&lt;=20,5,IF(S23&lt;=25,4,IF(S23&lt;=30,3,IF(S23&lt;=40,2,IF(S23&lt;=50,1,IF(S23&gt;50,0))))))))))))))))</f>
        <v>0</v>
      </c>
      <c r="AC23">
        <f>IF(T23=1,50,IF(T23=2,25,IF(T23=3,18,IF(T23=4,16,IF(T23=5,14,IF(T23=6,12,IF(T23=7,10,IF(T23=8,9,IF(T23=10,7,IF(T23&lt;=15,6,IF(T23&lt;=20,5,IF(T23&lt;=25,4,IF(T23&lt;=30,3,IF(T23&lt;=40,2,IF(T23&lt;=50,1,IF(T23&gt;50,0))))))))))))))))</f>
        <v>0</v>
      </c>
      <c r="AD23">
        <f>C23*0.5</f>
        <v>85.5</v>
      </c>
      <c r="AE23">
        <f>D23*3</f>
        <v>162</v>
      </c>
      <c r="AF23">
        <f>E23*8</f>
        <v>48</v>
      </c>
      <c r="AG23">
        <f>-1*(F23/2)</f>
        <v>-25</v>
      </c>
      <c r="AH23">
        <f>G23*-1</f>
        <v>-7</v>
      </c>
      <c r="AI23">
        <f>H23*13</f>
        <v>0</v>
      </c>
      <c r="AJ23">
        <f>I23*5</f>
        <v>0</v>
      </c>
      <c r="AK23">
        <f>J23*-1</f>
        <v>0</v>
      </c>
      <c r="AL23">
        <f>SUM(X23:AC23)</f>
        <v>18</v>
      </c>
      <c r="AM23">
        <f>SUM(AD23:AL23)</f>
        <v>281.5</v>
      </c>
      <c r="AN23">
        <f>SUM(C23:G23,J23)</f>
        <v>288</v>
      </c>
      <c r="AO23" s="1">
        <f>AM23/AN23</f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>AM24-U24</f>
        <v>-9.8000000000000114</v>
      </c>
      <c r="X24">
        <f>IF(O24=1,50,IF(O24=2,25,IF(O24=3,18,IF(O24=4,16,IF(O24=5,14,IF(O24=6,12,IF(O24=7,10,IF(O24=8,9,IF(O24=10,7,IF(O24&lt;=15,6,IF(O24&lt;=20,5,IF(O24&lt;=25,4,IF(O24&lt;=30,3,IF(O24&lt;=40,2,IF(O24&lt;=50,1,IF(O24&gt;50,0))))))))))))))))</f>
        <v>25</v>
      </c>
      <c r="Y24">
        <f>IF(P24=1,50,IF(P24=2,25,IF(P24=3,18,IF(P24=4,16,IF(P24=5,14,IF(P24=6,12,IF(P24=7,10,IF(P24=8,9,IF(P24=10,7,IF(P24&lt;=15,6,IF(P24&lt;=20,5,IF(P24&lt;=25,4,IF(P24&lt;=30,3,IF(P24&lt;=40,2,IF(P24&lt;=50,1,IF(P24&gt;50,0))))))))))))))))</f>
        <v>1</v>
      </c>
      <c r="Z24">
        <f>IF(Q24=1,50,IF(Q24=2,25,IF(Q24=3,18,IF(Q24=4,16,IF(Q24=5,14,IF(Q24=6,12,IF(Q24=7,10,IF(Q24=8,9,IF(Q24=10,7,IF(Q24&lt;=15,6,IF(Q24&lt;=20,5,IF(Q24&lt;=25,4,IF(Q24&lt;=30,3,IF(Q24&lt;=40,2,IF(Q24&lt;=50,1,IF(Q24&gt;50,0))))))))))))))))</f>
        <v>1</v>
      </c>
      <c r="AA24">
        <f>IF(R24=1,50,IF(R24=2,25,IF(R24=3,18,IF(R24=4,16,IF(R24=5,14,IF(R24=6,12,IF(R24=7,10,IF(R24=8,9,IF(R24=10,7,IF(R24&lt;=15,6,IF(R24&lt;=20,5,IF(R24&lt;=25,4,IF(R24&lt;=30,3,IF(R24&lt;=40,2,IF(R24&lt;=50,1,IF(R24&gt;50,0))))))))))))))))</f>
        <v>0</v>
      </c>
      <c r="AB24">
        <f>IF(S24=1,50,IF(S24=2,25,IF(S24=3,18,IF(S24=4,16,IF(S24=5,14,IF(S24=6,12,IF(S24=7,10,IF(S24=8,9,IF(S24=10,7,IF(S24&lt;=15,6,IF(S24&lt;=20,5,IF(S24&lt;=25,4,IF(S24&lt;=30,3,IF(S24&lt;=40,2,IF(S24&lt;=50,1,IF(S24&gt;50,0))))))))))))))))</f>
        <v>0</v>
      </c>
      <c r="AC24">
        <f>IF(T24=1,50,IF(T24=2,25,IF(T24=3,18,IF(T24=4,16,IF(T24=5,14,IF(T24=6,12,IF(T24=7,10,IF(T24=8,9,IF(T24=10,7,IF(T24&lt;=15,6,IF(T24&lt;=20,5,IF(T24&lt;=25,4,IF(T24&lt;=30,3,IF(T24&lt;=40,2,IF(T24&lt;=50,1,IF(T24&gt;50,0))))))))))))))))</f>
        <v>0</v>
      </c>
      <c r="AD24">
        <f>C24*0.5</f>
        <v>99</v>
      </c>
      <c r="AE24">
        <f>D24*3</f>
        <v>219</v>
      </c>
      <c r="AF24">
        <f>E24*8</f>
        <v>16</v>
      </c>
      <c r="AG24">
        <f>-1*(F24/2)</f>
        <v>-24</v>
      </c>
      <c r="AH24">
        <f>G24*-1</f>
        <v>-3</v>
      </c>
      <c r="AI24">
        <f>H24*13</f>
        <v>0</v>
      </c>
      <c r="AJ24">
        <f>I24*5</f>
        <v>0</v>
      </c>
      <c r="AK24">
        <f>J24*-1</f>
        <v>0</v>
      </c>
      <c r="AL24">
        <f>SUM(X24:AC24)</f>
        <v>27</v>
      </c>
      <c r="AM24">
        <f>SUM(AD24:AL24)</f>
        <v>334</v>
      </c>
      <c r="AN24">
        <f>SUM(C24:G24,J24)</f>
        <v>324</v>
      </c>
      <c r="AO24" s="1">
        <f>AM24/AN24</f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>AM25-U25</f>
        <v>104.19999999999999</v>
      </c>
      <c r="X25">
        <f>IF(O25=1,50,IF(O25=2,25,IF(O25=3,18,IF(O25=4,16,IF(O25=5,14,IF(O25=6,12,IF(O25=7,10,IF(O25=8,9,IF(O25=10,7,IF(O25&lt;=15,6,IF(O25&lt;=20,5,IF(O25&lt;=25,4,IF(O25&lt;=30,3,IF(O25&lt;=40,2,IF(O25&lt;=50,1,IF(O25&gt;50,0))))))))))))))))</f>
        <v>6</v>
      </c>
      <c r="Y25">
        <f>IF(P25=1,50,IF(P25=2,25,IF(P25=3,18,IF(P25=4,16,IF(P25=5,14,IF(P25=6,12,IF(P25=7,10,IF(P25=8,9,IF(P25=10,7,IF(P25&lt;=15,6,IF(P25&lt;=20,5,IF(P25&lt;=25,4,IF(P25&lt;=30,3,IF(P25&lt;=40,2,IF(P25&lt;=50,1,IF(P25&gt;50,0))))))))))))))))</f>
        <v>6</v>
      </c>
      <c r="Z25">
        <f>IF(Q25=1,50,IF(Q25=2,25,IF(Q25=3,18,IF(Q25=4,16,IF(Q25=5,14,IF(Q25=6,12,IF(Q25=7,10,IF(Q25=8,9,IF(Q25=10,7,IF(Q25&lt;=15,6,IF(Q25&lt;=20,5,IF(Q25&lt;=25,4,IF(Q25&lt;=30,3,IF(Q25&lt;=40,2,IF(Q25&lt;=50,1,IF(Q25&gt;50,0))))))))))))))))</f>
        <v>4</v>
      </c>
      <c r="AA25">
        <f>IF(R25=1,50,IF(R25=2,25,IF(R25=3,18,IF(R25=4,16,IF(R25=5,14,IF(R25=6,12,IF(R25=7,10,IF(R25=8,9,IF(R25=10,7,IF(R25&lt;=15,6,IF(R25&lt;=20,5,IF(R25&lt;=25,4,IF(R25&lt;=30,3,IF(R25&lt;=40,2,IF(R25&lt;=50,1,IF(R25&gt;50,0))))))))))))))))</f>
        <v>2</v>
      </c>
      <c r="AB25">
        <f>IF(S25=1,50,IF(S25=2,25,IF(S25=3,18,IF(S25=4,16,IF(S25=5,14,IF(S25=6,12,IF(S25=7,10,IF(S25=8,9,IF(S25=10,7,IF(S25&lt;=15,6,IF(S25&lt;=20,5,IF(S25&lt;=25,4,IF(S25&lt;=30,3,IF(S25&lt;=40,2,IF(S25&lt;=50,1,IF(S25&gt;50,0))))))))))))))))</f>
        <v>1</v>
      </c>
      <c r="AC25">
        <f>IF(T25=1,50,IF(T25=2,25,IF(T25=3,18,IF(T25=4,16,IF(T25=5,14,IF(T25=6,12,IF(T25=7,10,IF(T25=8,9,IF(T25=10,7,IF(T25&lt;=15,6,IF(T25&lt;=20,5,IF(T25&lt;=25,4,IF(T25&lt;=30,3,IF(T25&lt;=40,2,IF(T25&lt;=50,1,IF(T25&gt;50,0))))))))))))))))</f>
        <v>0</v>
      </c>
      <c r="AD25">
        <f>C25*0.5</f>
        <v>127.5</v>
      </c>
      <c r="AE25">
        <f>D25*3</f>
        <v>291</v>
      </c>
      <c r="AF25">
        <f>E25*8</f>
        <v>32</v>
      </c>
      <c r="AG25">
        <f>-1*(F25/2)</f>
        <v>-36.5</v>
      </c>
      <c r="AH25">
        <f>G25*-1</f>
        <v>-2</v>
      </c>
      <c r="AI25">
        <f>H25*13</f>
        <v>13</v>
      </c>
      <c r="AJ25">
        <f>I25*5</f>
        <v>5</v>
      </c>
      <c r="AK25">
        <f>J25*-1</f>
        <v>-1</v>
      </c>
      <c r="AL25">
        <f>SUM(X25:AC25)</f>
        <v>19</v>
      </c>
      <c r="AM25">
        <f>SUM(AD25:AL25)</f>
        <v>448</v>
      </c>
      <c r="AN25">
        <f>SUM(C25:G25,J25)</f>
        <v>432</v>
      </c>
      <c r="AO25" s="1">
        <f>AM25/AN25</f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>AM26-U26</f>
        <v>-47.300000000000011</v>
      </c>
      <c r="X26">
        <f>IF(O26=1,50,IF(O26=2,25,IF(O26=3,18,IF(O26=4,16,IF(O26=5,14,IF(O26=6,12,IF(O26=7,10,IF(O26=8,9,IF(O26=10,7,IF(O26&lt;=15,6,IF(O26&lt;=20,5,IF(O26&lt;=25,4,IF(O26&lt;=30,3,IF(O26&lt;=40,2,IF(O26&lt;=50,1,IF(O26&gt;50,0))))))))))))))))</f>
        <v>7</v>
      </c>
      <c r="Y26">
        <f>IF(P26=1,50,IF(P26=2,25,IF(P26=3,18,IF(P26=4,16,IF(P26=5,14,IF(P26=6,12,IF(P26=7,10,IF(P26=8,9,IF(P26=10,7,IF(P26&lt;=15,6,IF(P26&lt;=20,5,IF(P26&lt;=25,4,IF(P26&lt;=30,3,IF(P26&lt;=40,2,IF(P26&lt;=50,1,IF(P26&gt;50,0))))))))))))))))</f>
        <v>2</v>
      </c>
      <c r="Z26">
        <f>IF(Q26=1,50,IF(Q26=2,25,IF(Q26=3,18,IF(Q26=4,16,IF(Q26=5,14,IF(Q26=6,12,IF(Q26=7,10,IF(Q26=8,9,IF(Q26=10,7,IF(Q26&lt;=15,6,IF(Q26&lt;=20,5,IF(Q26&lt;=25,4,IF(Q26&lt;=30,3,IF(Q26&lt;=40,2,IF(Q26&lt;=50,1,IF(Q26&gt;50,0))))))))))))))))</f>
        <v>2</v>
      </c>
      <c r="AA26">
        <f>IF(R26=1,50,IF(R26=2,25,IF(R26=3,18,IF(R26=4,16,IF(R26=5,14,IF(R26=6,12,IF(R26=7,10,IF(R26=8,9,IF(R26=10,7,IF(R26&lt;=15,6,IF(R26&lt;=20,5,IF(R26&lt;=25,4,IF(R26&lt;=30,3,IF(R26&lt;=40,2,IF(R26&lt;=50,1,IF(R26&gt;50,0))))))))))))))))</f>
        <v>0</v>
      </c>
      <c r="AB26">
        <f>IF(S26=1,50,IF(S26=2,25,IF(S26=3,18,IF(S26=4,16,IF(S26=5,14,IF(S26=6,12,IF(S26=7,10,IF(S26=8,9,IF(S26=10,7,IF(S26&lt;=15,6,IF(S26&lt;=20,5,IF(S26&lt;=25,4,IF(S26&lt;=30,3,IF(S26&lt;=40,2,IF(S26&lt;=50,1,IF(S26&gt;50,0))))))))))))))))</f>
        <v>0</v>
      </c>
      <c r="AC26">
        <f>IF(T26=1,50,IF(T26=2,25,IF(T26=3,18,IF(T26=4,16,IF(T26=5,14,IF(T26=6,12,IF(T26=7,10,IF(T26=8,9,IF(T26=10,7,IF(T26&lt;=15,6,IF(T26&lt;=20,5,IF(T26&lt;=25,4,IF(T26&lt;=30,3,IF(T26&lt;=40,2,IF(T26&lt;=50,1,IF(T26&gt;50,0))))))))))))))))</f>
        <v>0</v>
      </c>
      <c r="AD26">
        <f>C26*0.5</f>
        <v>113.5</v>
      </c>
      <c r="AE26">
        <f>D26*3</f>
        <v>192</v>
      </c>
      <c r="AF26">
        <f>E26*8</f>
        <v>0</v>
      </c>
      <c r="AG26">
        <f>-1*(F26/2)</f>
        <v>-15</v>
      </c>
      <c r="AH26">
        <f>G26*-1</f>
        <v>-2</v>
      </c>
      <c r="AI26">
        <f>H26*13</f>
        <v>0</v>
      </c>
      <c r="AJ26">
        <f>I26*5</f>
        <v>0</v>
      </c>
      <c r="AK26">
        <f>J26*-1</f>
        <v>-1</v>
      </c>
      <c r="AL26">
        <f>SUM(X26:AC26)</f>
        <v>11</v>
      </c>
      <c r="AM26">
        <f>SUM(AD26:AL26)</f>
        <v>298.5</v>
      </c>
      <c r="AN26">
        <f>SUM(C26:G26,J26)</f>
        <v>324</v>
      </c>
      <c r="AO26" s="1">
        <f>AM26/AN26</f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30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>AM27-U27</f>
        <v>58.699999999999989</v>
      </c>
      <c r="X27">
        <f>IF(O27=1,50,IF(O27=2,25,IF(O27=3,18,IF(O27=4,16,IF(O27=5,14,IF(O27=6,12,IF(O27=7,10,IF(O27=8,9,IF(O27=10,7,IF(O27&lt;=15,6,IF(O27&lt;=20,5,IF(O27&lt;=25,4,IF(O27&lt;=30,3,IF(O27&lt;=40,2,IF(O27&lt;=50,1,IF(O27&gt;50,0))))))))))))))))</f>
        <v>25</v>
      </c>
      <c r="Y27">
        <f>IF(P27=1,50,IF(P27=2,25,IF(P27=3,18,IF(P27=4,16,IF(P27=5,14,IF(P27=6,12,IF(P27=7,10,IF(P27=8,9,IF(P27=10,7,IF(P27&lt;=15,6,IF(P27&lt;=20,5,IF(P27&lt;=25,4,IF(P27&lt;=30,3,IF(P27&lt;=40,2,IF(P27&lt;=50,1,IF(P27&gt;50,0))))))))))))))))</f>
        <v>12</v>
      </c>
      <c r="Z27">
        <f>IF(Q27=1,50,IF(Q27=2,25,IF(Q27=3,18,IF(Q27=4,16,IF(Q27=5,14,IF(Q27=6,12,IF(Q27=7,10,IF(Q27=8,9,IF(Q27=10,7,IF(Q27&lt;=15,6,IF(Q27&lt;=20,5,IF(Q27&lt;=25,4,IF(Q27&lt;=30,3,IF(Q27&lt;=40,2,IF(Q27&lt;=50,1,IF(Q27&gt;50,0))))))))))))))))</f>
        <v>5</v>
      </c>
      <c r="AA27">
        <f>IF(R27=1,50,IF(R27=2,25,IF(R27=3,18,IF(R27=4,16,IF(R27=5,14,IF(R27=6,12,IF(R27=7,10,IF(R27=8,9,IF(R27=10,7,IF(R27&lt;=15,6,IF(R27&lt;=20,5,IF(R27&lt;=25,4,IF(R27&lt;=30,3,IF(R27&lt;=40,2,IF(R27&lt;=50,1,IF(R27&gt;50,0))))))))))))))))</f>
        <v>1</v>
      </c>
      <c r="AB27">
        <f>IF(S27=1,50,IF(S27=2,25,IF(S27=3,18,IF(S27=4,16,IF(S27=5,14,IF(S27=6,12,IF(S27=7,10,IF(S27=8,9,IF(S27=10,7,IF(S27&lt;=15,6,IF(S27&lt;=20,5,IF(S27&lt;=25,4,IF(S27&lt;=30,3,IF(S27&lt;=40,2,IF(S27&lt;=50,1,IF(S27&gt;50,0))))))))))))))))</f>
        <v>1</v>
      </c>
      <c r="AC27">
        <f>IF(T27=1,50,IF(T27=2,25,IF(T27=3,18,IF(T27=4,16,IF(T27=5,14,IF(T27=6,12,IF(T27=7,10,IF(T27=8,9,IF(T27=10,7,IF(T27&lt;=15,6,IF(T27&lt;=20,5,IF(T27&lt;=25,4,IF(T27&lt;=30,3,IF(T27&lt;=40,2,IF(T27&lt;=50,1,IF(T27&gt;50,0))))))))))))))))</f>
        <v>0</v>
      </c>
      <c r="AD27">
        <f>C27*0.5</f>
        <v>104.5</v>
      </c>
      <c r="AE27">
        <f>D27*3</f>
        <v>219</v>
      </c>
      <c r="AF27">
        <f>E27*8</f>
        <v>56</v>
      </c>
      <c r="AG27">
        <f>-1*(F27/2)</f>
        <v>-16</v>
      </c>
      <c r="AH27">
        <f>G27*-1</f>
        <v>-3</v>
      </c>
      <c r="AI27">
        <f>H27*13</f>
        <v>0</v>
      </c>
      <c r="AJ27">
        <f>I27*5</f>
        <v>0</v>
      </c>
      <c r="AK27">
        <f>J27*-1</f>
        <v>0</v>
      </c>
      <c r="AL27">
        <f>SUM(X27:AC27)</f>
        <v>44</v>
      </c>
      <c r="AM27">
        <f>SUM(AD27:AL27)</f>
        <v>404.5</v>
      </c>
      <c r="AN27">
        <f>SUM(C27:G27,J27)</f>
        <v>324</v>
      </c>
      <c r="AO27" s="1">
        <f>AM27/AN27</f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>AM28-U28</f>
        <v>-19.800000000000011</v>
      </c>
      <c r="X28">
        <f>IF(O28=1,50,IF(O28=2,25,IF(O28=3,18,IF(O28=4,16,IF(O28=5,14,IF(O28=6,12,IF(O28=7,10,IF(O28=8,9,IF(O28=10,7,IF(O28&lt;=15,6,IF(O28&lt;=20,5,IF(O28&lt;=25,4,IF(O28&lt;=30,3,IF(O28&lt;=40,2,IF(O28&lt;=50,1,IF(O28&gt;50,0))))))))))))))))</f>
        <v>6</v>
      </c>
      <c r="Y28">
        <f>IF(P28=1,50,IF(P28=2,25,IF(P28=3,18,IF(P28=4,16,IF(P28=5,14,IF(P28=6,12,IF(P28=7,10,IF(P28=8,9,IF(P28=10,7,IF(P28&lt;=15,6,IF(P28&lt;=20,5,IF(P28&lt;=25,4,IF(P28&lt;=30,3,IF(P28&lt;=40,2,IF(P28&lt;=50,1,IF(P28&gt;50,0))))))))))))))))</f>
        <v>6</v>
      </c>
      <c r="Z28">
        <f>IF(Q28=1,50,IF(Q28=2,25,IF(Q28=3,18,IF(Q28=4,16,IF(Q28=5,14,IF(Q28=6,12,IF(Q28=7,10,IF(Q28=8,9,IF(Q28=10,7,IF(Q28&lt;=15,6,IF(Q28&lt;=20,5,IF(Q28&lt;=25,4,IF(Q28&lt;=30,3,IF(Q28&lt;=40,2,IF(Q28&lt;=50,1,IF(Q28&gt;50,0))))))))))))))))</f>
        <v>3</v>
      </c>
      <c r="AA28">
        <f>IF(R28=1,50,IF(R28=2,25,IF(R28=3,18,IF(R28=4,16,IF(R28=5,14,IF(R28=6,12,IF(R28=7,10,IF(R28=8,9,IF(R28=10,7,IF(R28&lt;=15,6,IF(R28&lt;=20,5,IF(R28&lt;=25,4,IF(R28&lt;=30,3,IF(R28&lt;=40,2,IF(R28&lt;=50,1,IF(R28&gt;50,0))))))))))))))))</f>
        <v>0</v>
      </c>
      <c r="AB28">
        <f>IF(S28=1,50,IF(S28=2,25,IF(S28=3,18,IF(S28=4,16,IF(S28=5,14,IF(S28=6,12,IF(S28=7,10,IF(S28=8,9,IF(S28=10,7,IF(S28&lt;=15,6,IF(S28&lt;=20,5,IF(S28&lt;=25,4,IF(S28&lt;=30,3,IF(S28&lt;=40,2,IF(S28&lt;=50,1,IF(S28&gt;50,0))))))))))))))))</f>
        <v>0</v>
      </c>
      <c r="AC28">
        <f>IF(T28=1,50,IF(T28=2,25,IF(T28=3,18,IF(T28=4,16,IF(T28=5,14,IF(T28=6,12,IF(T28=7,10,IF(T28=8,9,IF(T28=10,7,IF(T28&lt;=15,6,IF(T28&lt;=20,5,IF(T28&lt;=25,4,IF(T28&lt;=30,3,IF(T28&lt;=40,2,IF(T28&lt;=50,1,IF(T28&gt;50,0))))))))))))))))</f>
        <v>0</v>
      </c>
      <c r="AD28">
        <f>C28*0.5</f>
        <v>108.5</v>
      </c>
      <c r="AE28">
        <f>D28*3</f>
        <v>213</v>
      </c>
      <c r="AF28">
        <f>E28*8</f>
        <v>8</v>
      </c>
      <c r="AG28">
        <f>-1*(F28/2)</f>
        <v>-16.5</v>
      </c>
      <c r="AH28">
        <f>G28*-1</f>
        <v>-2</v>
      </c>
      <c r="AI28">
        <f>H28*13</f>
        <v>0</v>
      </c>
      <c r="AJ28">
        <f>I28*5</f>
        <v>0</v>
      </c>
      <c r="AK28">
        <f>J28*-1</f>
        <v>0</v>
      </c>
      <c r="AL28">
        <f>SUM(X28:AC28)</f>
        <v>15</v>
      </c>
      <c r="AM28">
        <f>SUM(AD28:AL28)</f>
        <v>326</v>
      </c>
      <c r="AN28">
        <f>SUM(C28:G28,J28)</f>
        <v>324</v>
      </c>
      <c r="AO28" s="1">
        <f>AM28/AN28</f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>AM29-U29</f>
        <v>6.1999999999999886</v>
      </c>
      <c r="X29">
        <f>IF(O29=1,50,IF(O29=2,25,IF(O29=3,18,IF(O29=4,16,IF(O29=5,14,IF(O29=6,12,IF(O29=7,10,IF(O29=8,9,IF(O29=10,7,IF(O29&lt;=15,6,IF(O29&lt;=20,5,IF(O29&lt;=25,4,IF(O29&lt;=30,3,IF(O29&lt;=40,2,IF(O29&lt;=50,1,IF(O29&gt;50,0))))))))))))))))</f>
        <v>12</v>
      </c>
      <c r="Y29">
        <f>IF(P29=1,50,IF(P29=2,25,IF(P29=3,18,IF(P29=4,16,IF(P29=5,14,IF(P29=6,12,IF(P29=7,10,IF(P29=8,9,IF(P29=10,7,IF(P29&lt;=15,6,IF(P29&lt;=20,5,IF(P29&lt;=25,4,IF(P29&lt;=30,3,IF(P29&lt;=40,2,IF(P29&lt;=50,1,IF(P29&gt;50,0))))))))))))))))</f>
        <v>6</v>
      </c>
      <c r="Z29">
        <f>IF(Q29=1,50,IF(Q29=2,25,IF(Q29=3,18,IF(Q29=4,16,IF(Q29=5,14,IF(Q29=6,12,IF(Q29=7,10,IF(Q29=8,9,IF(Q29=10,7,IF(Q29&lt;=15,6,IF(Q29&lt;=20,5,IF(Q29&lt;=25,4,IF(Q29&lt;=30,3,IF(Q29&lt;=40,2,IF(Q29&lt;=50,1,IF(Q29&gt;50,0))))))))))))))))</f>
        <v>5</v>
      </c>
      <c r="AA29">
        <f>IF(R29=1,50,IF(R29=2,25,IF(R29=3,18,IF(R29=4,16,IF(R29=5,14,IF(R29=6,12,IF(R29=7,10,IF(R29=8,9,IF(R29=10,7,IF(R29&lt;=15,6,IF(R29&lt;=20,5,IF(R29&lt;=25,4,IF(R29&lt;=30,3,IF(R29&lt;=40,2,IF(R29&lt;=50,1,IF(R29&gt;50,0))))))))))))))))</f>
        <v>5</v>
      </c>
      <c r="AB29">
        <f>IF(S29=1,50,IF(S29=2,25,IF(S29=3,18,IF(S29=4,16,IF(S29=5,14,IF(S29=6,12,IF(S29=7,10,IF(S29=8,9,IF(S29=10,7,IF(S29&lt;=15,6,IF(S29&lt;=20,5,IF(S29&lt;=25,4,IF(S29&lt;=30,3,IF(S29&lt;=40,2,IF(S29&lt;=50,1,IF(S29&gt;50,0))))))))))))))))</f>
        <v>0</v>
      </c>
      <c r="AC29">
        <f>IF(T29=1,50,IF(T29=2,25,IF(T29=3,18,IF(T29=4,16,IF(T29=5,14,IF(T29=6,12,IF(T29=7,10,IF(T29=8,9,IF(T29=10,7,IF(T29&lt;=15,6,IF(T29&lt;=20,5,IF(T29&lt;=25,4,IF(T29&lt;=30,3,IF(T29&lt;=40,2,IF(T29&lt;=50,1,IF(T29&gt;50,0))))))))))))))))</f>
        <v>0</v>
      </c>
      <c r="AD29">
        <f>C29*0.5</f>
        <v>105.5</v>
      </c>
      <c r="AE29">
        <f>D29*3</f>
        <v>237</v>
      </c>
      <c r="AF29">
        <f>E29*8</f>
        <v>0</v>
      </c>
      <c r="AG29">
        <f>-1*(F29/2)</f>
        <v>-15.5</v>
      </c>
      <c r="AH29">
        <f>G29*-1</f>
        <v>-2</v>
      </c>
      <c r="AI29">
        <f>H29*13</f>
        <v>0</v>
      </c>
      <c r="AJ29">
        <f>I29*5</f>
        <v>0</v>
      </c>
      <c r="AK29">
        <f>J29*-1</f>
        <v>-1</v>
      </c>
      <c r="AL29">
        <f>SUM(X29:AC29)</f>
        <v>28</v>
      </c>
      <c r="AM29">
        <f>SUM(AD29:AL29)</f>
        <v>352</v>
      </c>
      <c r="AN29">
        <f>SUM(C29:G29,J29)</f>
        <v>324</v>
      </c>
      <c r="AO29" s="1">
        <f>AM29/AN29</f>
        <v>1.0864197530864197</v>
      </c>
    </row>
    <row r="30" spans="1:41" x14ac:dyDescent="0.25">
      <c r="A30" t="s">
        <v>30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>AM30-U30</f>
        <v>-27.800000000000011</v>
      </c>
      <c r="X30">
        <f>IF(O30=1,50,IF(O30=2,25,IF(O30=3,18,IF(O30=4,16,IF(O30=5,14,IF(O30=6,12,IF(O30=7,10,IF(O30=8,9,IF(O30=10,7,IF(O30&lt;=15,6,IF(O30&lt;=20,5,IF(O30&lt;=25,4,IF(O30&lt;=30,3,IF(O30&lt;=40,2,IF(O30&lt;=50,1,IF(O30&gt;50,0))))))))))))))))</f>
        <v>5</v>
      </c>
      <c r="Y30">
        <f>IF(P30=1,50,IF(P30=2,25,IF(P30=3,18,IF(P30=4,16,IF(P30=5,14,IF(P30=6,12,IF(P30=7,10,IF(P30=8,9,IF(P30=10,7,IF(P30&lt;=15,6,IF(P30&lt;=20,5,IF(P30&lt;=25,4,IF(P30&lt;=30,3,IF(P30&lt;=40,2,IF(P30&lt;=50,1,IF(P30&gt;50,0))))))))))))))))</f>
        <v>1</v>
      </c>
      <c r="Z30">
        <f>IF(Q30=1,50,IF(Q30=2,25,IF(Q30=3,18,IF(Q30=4,16,IF(Q30=5,14,IF(Q30=6,12,IF(Q30=7,10,IF(Q30=8,9,IF(Q30=10,7,IF(Q30&lt;=15,6,IF(Q30&lt;=20,5,IF(Q30&lt;=25,4,IF(Q30&lt;=30,3,IF(Q30&lt;=40,2,IF(Q30&lt;=50,1,IF(Q30&gt;50,0))))))))))))))))</f>
        <v>1</v>
      </c>
      <c r="AA30">
        <f>IF(R30=1,50,IF(R30=2,25,IF(R30=3,18,IF(R30=4,16,IF(R30=5,14,IF(R30=6,12,IF(R30=7,10,IF(R30=8,9,IF(R30=10,7,IF(R30&lt;=15,6,IF(R30&lt;=20,5,IF(R30&lt;=25,4,IF(R30&lt;=30,3,IF(R30&lt;=40,2,IF(R30&lt;=50,1,IF(R30&gt;50,0))))))))))))))))</f>
        <v>0</v>
      </c>
      <c r="AB30">
        <f>IF(S30=1,50,IF(S30=2,25,IF(S30=3,18,IF(S30=4,16,IF(S30=5,14,IF(S30=6,12,IF(S30=7,10,IF(S30=8,9,IF(S30=10,7,IF(S30&lt;=15,6,IF(S30&lt;=20,5,IF(S30&lt;=25,4,IF(S30&lt;=30,3,IF(S30&lt;=40,2,IF(S30&lt;=50,1,IF(S30&gt;50,0))))))))))))))))</f>
        <v>0</v>
      </c>
      <c r="AC30">
        <f>IF(T30=1,50,IF(T30=2,25,IF(T30=3,18,IF(T30=4,16,IF(T30=5,14,IF(T30=6,12,IF(T30=7,10,IF(T30=8,9,IF(T30=10,7,IF(T30&lt;=15,6,IF(T30&lt;=20,5,IF(T30&lt;=25,4,IF(T30&lt;=30,3,IF(T30&lt;=40,2,IF(T30&lt;=50,1,IF(T30&gt;50,0))))))))))))))))</f>
        <v>0</v>
      </c>
      <c r="AD30">
        <f>C30*0.5</f>
        <v>95</v>
      </c>
      <c r="AE30">
        <f>D30*3</f>
        <v>240</v>
      </c>
      <c r="AF30">
        <f>E30*8</f>
        <v>8</v>
      </c>
      <c r="AG30">
        <f>-1*(F30/2)</f>
        <v>-21</v>
      </c>
      <c r="AH30">
        <f>G30*-1</f>
        <v>-10</v>
      </c>
      <c r="AI30">
        <f>H30*13</f>
        <v>0</v>
      </c>
      <c r="AJ30">
        <f>I30*5</f>
        <v>0</v>
      </c>
      <c r="AK30">
        <f>J30*-1</f>
        <v>-1</v>
      </c>
      <c r="AL30">
        <f>SUM(X30:AC30)</f>
        <v>7</v>
      </c>
      <c r="AM30">
        <f>SUM(AD30:AL30)</f>
        <v>318</v>
      </c>
      <c r="AN30">
        <f>SUM(C30:G30,J30)</f>
        <v>324</v>
      </c>
      <c r="AO30" s="1">
        <f>AM30/AN30</f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>AM31-U31</f>
        <v>112.19999999999999</v>
      </c>
      <c r="X31">
        <f>IF(O31=1,50,IF(O31=2,25,IF(O31=3,18,IF(O31=4,16,IF(O31=5,14,IF(O31=6,12,IF(O31=7,10,IF(O31=8,9,IF(O31=10,7,IF(O31&lt;=15,6,IF(O31&lt;=20,5,IF(O31&lt;=25,4,IF(O31&lt;=30,3,IF(O31&lt;=40,2,IF(O31&lt;=50,1,IF(O31&gt;50,0))))))))))))))))</f>
        <v>50</v>
      </c>
      <c r="Y31">
        <f>IF(P31=1,50,IF(P31=2,25,IF(P31=3,18,IF(P31=4,16,IF(P31=5,14,IF(P31=6,12,IF(P31=7,10,IF(P31=8,9,IF(P31=10,7,IF(P31&lt;=15,6,IF(P31&lt;=20,5,IF(P31&lt;=25,4,IF(P31&lt;=30,3,IF(P31&lt;=40,2,IF(P31&lt;=50,1,IF(P31&gt;50,0))))))))))))))))</f>
        <v>18</v>
      </c>
      <c r="Z31">
        <f>IF(Q31=1,50,IF(Q31=2,25,IF(Q31=3,18,IF(Q31=4,16,IF(Q31=5,14,IF(Q31=6,12,IF(Q31=7,10,IF(Q31=8,9,IF(Q31=10,7,IF(Q31&lt;=15,6,IF(Q31&lt;=20,5,IF(Q31&lt;=25,4,IF(Q31&lt;=30,3,IF(Q31&lt;=40,2,IF(Q31&lt;=50,1,IF(Q31&gt;50,0))))))))))))))))</f>
        <v>6</v>
      </c>
      <c r="AA31">
        <f>IF(R31=1,50,IF(R31=2,25,IF(R31=3,18,IF(R31=4,16,IF(R31=5,14,IF(R31=6,12,IF(R31=7,10,IF(R31=8,9,IF(R31=10,7,IF(R31&lt;=15,6,IF(R31&lt;=20,5,IF(R31&lt;=25,4,IF(R31&lt;=30,3,IF(R31&lt;=40,2,IF(R31&lt;=50,1,IF(R31&gt;50,0))))))))))))))))</f>
        <v>2</v>
      </c>
      <c r="AB31">
        <f>IF(S31=1,50,IF(S31=2,25,IF(S31=3,18,IF(S31=4,16,IF(S31=5,14,IF(S31=6,12,IF(S31=7,10,IF(S31=8,9,IF(S31=10,7,IF(S31&lt;=15,6,IF(S31&lt;=20,5,IF(S31&lt;=25,4,IF(S31&lt;=30,3,IF(S31&lt;=40,2,IF(S31&lt;=50,1,IF(S31&gt;50,0))))))))))))))))</f>
        <v>0</v>
      </c>
      <c r="AC31">
        <f>IF(T31=1,50,IF(T31=2,25,IF(T31=3,18,IF(T31=4,16,IF(T31=5,14,IF(T31=6,12,IF(T31=7,10,IF(T31=8,9,IF(T31=10,7,IF(T31&lt;=15,6,IF(T31&lt;=20,5,IF(T31&lt;=25,4,IF(T31&lt;=30,3,IF(T31&lt;=40,2,IF(T31&lt;=50,1,IF(T31&gt;50,0))))))))))))))))</f>
        <v>0</v>
      </c>
      <c r="AD31">
        <f>C31*0.5</f>
        <v>90.5</v>
      </c>
      <c r="AE31">
        <f>D31*3</f>
        <v>285</v>
      </c>
      <c r="AF31">
        <f>E31*8</f>
        <v>32</v>
      </c>
      <c r="AG31">
        <f>-1*(F31/2)</f>
        <v>-18.5</v>
      </c>
      <c r="AH31">
        <f>G31*-1</f>
        <v>-7</v>
      </c>
      <c r="AI31">
        <f>H31*13</f>
        <v>0</v>
      </c>
      <c r="AJ31">
        <f>I31*5</f>
        <v>0</v>
      </c>
      <c r="AK31">
        <f>J31*-1</f>
        <v>0</v>
      </c>
      <c r="AL31">
        <f>SUM(X31:AC31)</f>
        <v>76</v>
      </c>
      <c r="AM31">
        <f>SUM(AD31:AL31)</f>
        <v>458</v>
      </c>
      <c r="AN31">
        <f>SUM(C31:G31,J31)</f>
        <v>324</v>
      </c>
      <c r="AO31" s="1">
        <f>AM31/AN31</f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>AM32-U32</f>
        <v>16.199999999999989</v>
      </c>
      <c r="X32">
        <f>IF(O32=1,50,IF(O32=2,25,IF(O32=3,18,IF(O32=4,16,IF(O32=5,14,IF(O32=6,12,IF(O32=7,10,IF(O32=8,9,IF(O32=10,7,IF(O32&lt;=15,6,IF(O32&lt;=20,5,IF(O32&lt;=25,4,IF(O32&lt;=30,3,IF(O32&lt;=40,2,IF(O32&lt;=50,1,IF(O32&gt;50,0))))))))))))))))</f>
        <v>6</v>
      </c>
      <c r="Y32">
        <f>IF(P32=1,50,IF(P32=2,25,IF(P32=3,18,IF(P32=4,16,IF(P32=5,14,IF(P32=6,12,IF(P32=7,10,IF(P32=8,9,IF(P32=10,7,IF(P32&lt;=15,6,IF(P32&lt;=20,5,IF(P32&lt;=25,4,IF(P32&lt;=30,3,IF(P32&lt;=40,2,IF(P32&lt;=50,1,IF(P32&gt;50,0))))))))))))))))</f>
        <v>6</v>
      </c>
      <c r="Z32">
        <f>IF(Q32=1,50,IF(Q32=2,25,IF(Q32=3,18,IF(Q32=4,16,IF(Q32=5,14,IF(Q32=6,12,IF(Q32=7,10,IF(Q32=8,9,IF(Q32=10,7,IF(Q32&lt;=15,6,IF(Q32&lt;=20,5,IF(Q32&lt;=25,4,IF(Q32&lt;=30,3,IF(Q32&lt;=40,2,IF(Q32&lt;=50,1,IF(Q32&gt;50,0))))))))))))))))</f>
        <v>5</v>
      </c>
      <c r="AA32">
        <f>IF(R32=1,50,IF(R32=2,25,IF(R32=3,18,IF(R32=4,16,IF(R32=5,14,IF(R32=6,12,IF(R32=7,10,IF(R32=8,9,IF(R32=10,7,IF(R32&lt;=15,6,IF(R32&lt;=20,5,IF(R32&lt;=25,4,IF(R32&lt;=30,3,IF(R32&lt;=40,2,IF(R32&lt;=50,1,IF(R32&gt;50,0))))))))))))))))</f>
        <v>2</v>
      </c>
      <c r="AB32">
        <f>IF(S32=1,50,IF(S32=2,25,IF(S32=3,18,IF(S32=4,16,IF(S32=5,14,IF(S32=6,12,IF(S32=7,10,IF(S32=8,9,IF(S32=10,7,IF(S32&lt;=15,6,IF(S32&lt;=20,5,IF(S32&lt;=25,4,IF(S32&lt;=30,3,IF(S32&lt;=40,2,IF(S32&lt;=50,1,IF(S32&gt;50,0))))))))))))))))</f>
        <v>0</v>
      </c>
      <c r="AC32">
        <f>IF(T32=1,50,IF(T32=2,25,IF(T32=3,18,IF(T32=4,16,IF(T32=5,14,IF(T32=6,12,IF(T32=7,10,IF(T32=8,9,IF(T32=10,7,IF(T32&lt;=15,6,IF(T32&lt;=20,5,IF(T32&lt;=25,4,IF(T32&lt;=30,3,IF(T32&lt;=40,2,IF(T32&lt;=50,1,IF(T32&gt;50,0))))))))))))))))</f>
        <v>0</v>
      </c>
      <c r="AD32">
        <f>C32*0.5</f>
        <v>96</v>
      </c>
      <c r="AE32">
        <f>D32*3</f>
        <v>270</v>
      </c>
      <c r="AF32">
        <f>E32*8</f>
        <v>0</v>
      </c>
      <c r="AG32">
        <f>-1*(F32/2)</f>
        <v>-19</v>
      </c>
      <c r="AH32">
        <f>G32*-1</f>
        <v>-3</v>
      </c>
      <c r="AI32">
        <f>H32*13</f>
        <v>0</v>
      </c>
      <c r="AJ32">
        <f>I32*5</f>
        <v>0</v>
      </c>
      <c r="AK32">
        <f>J32*-1</f>
        <v>-1</v>
      </c>
      <c r="AL32">
        <f>SUM(X32:AC32)</f>
        <v>19</v>
      </c>
      <c r="AM32">
        <f>SUM(AD32:AL32)</f>
        <v>362</v>
      </c>
      <c r="AN32">
        <f>SUM(C32:G32,J32)</f>
        <v>324</v>
      </c>
      <c r="AO32" s="1">
        <f>AM32/AN32</f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>AM33-U33</f>
        <v>-6.3000000000000114</v>
      </c>
      <c r="X33">
        <f>IF(O33=1,50,IF(O33=2,25,IF(O33=3,18,IF(O33=4,16,IF(O33=5,14,IF(O33=6,12,IF(O33=7,10,IF(O33=8,9,IF(O33=10,7,IF(O33&lt;=15,6,IF(O33&lt;=20,5,IF(O33&lt;=25,4,IF(O33&lt;=30,3,IF(O33&lt;=40,2,IF(O33&lt;=50,1,IF(O33&gt;50,0))))))))))))))))</f>
        <v>6</v>
      </c>
      <c r="Y33">
        <f>IF(P33=1,50,IF(P33=2,25,IF(P33=3,18,IF(P33=4,16,IF(P33=5,14,IF(P33=6,12,IF(P33=7,10,IF(P33=8,9,IF(P33=10,7,IF(P33&lt;=15,6,IF(P33&lt;=20,5,IF(P33&lt;=25,4,IF(P33&lt;=30,3,IF(P33&lt;=40,2,IF(P33&lt;=50,1,IF(P33&gt;50,0))))))))))))))))</f>
        <v>3</v>
      </c>
      <c r="Z33">
        <f>IF(Q33=1,50,IF(Q33=2,25,IF(Q33=3,18,IF(Q33=4,16,IF(Q33=5,14,IF(Q33=6,12,IF(Q33=7,10,IF(Q33=8,9,IF(Q33=10,7,IF(Q33&lt;=15,6,IF(Q33&lt;=20,5,IF(Q33&lt;=25,4,IF(Q33&lt;=30,3,IF(Q33&lt;=40,2,IF(Q33&lt;=50,1,IF(Q33&gt;50,0))))))))))))))))</f>
        <v>3</v>
      </c>
      <c r="AA33">
        <f>IF(R33=1,50,IF(R33=2,25,IF(R33=3,18,IF(R33=4,16,IF(R33=5,14,IF(R33=6,12,IF(R33=7,10,IF(R33=8,9,IF(R33=10,7,IF(R33&lt;=15,6,IF(R33&lt;=20,5,IF(R33&lt;=25,4,IF(R33&lt;=30,3,IF(R33&lt;=40,2,IF(R33&lt;=50,1,IF(R33&gt;50,0))))))))))))))))</f>
        <v>2</v>
      </c>
      <c r="AB33">
        <f>IF(S33=1,50,IF(S33=2,25,IF(S33=3,18,IF(S33=4,16,IF(S33=5,14,IF(S33=6,12,IF(S33=7,10,IF(S33=8,9,IF(S33=10,7,IF(S33&lt;=15,6,IF(S33&lt;=20,5,IF(S33&lt;=25,4,IF(S33&lt;=30,3,IF(S33&lt;=40,2,IF(S33&lt;=50,1,IF(S33&gt;50,0))))))))))))))))</f>
        <v>2</v>
      </c>
      <c r="AC33">
        <f>IF(T33=1,50,IF(T33=2,25,IF(T33=3,18,IF(T33=4,16,IF(T33=5,14,IF(T33=6,12,IF(T33=7,10,IF(T33=8,9,IF(T33=10,7,IF(T33&lt;=15,6,IF(T33&lt;=20,5,IF(T33&lt;=25,4,IF(T33&lt;=30,3,IF(T33&lt;=40,2,IF(T33&lt;=50,1,IF(T33&gt;50,0))))))))))))))))</f>
        <v>0</v>
      </c>
      <c r="AD33">
        <f>C33*0.5</f>
        <v>109.5</v>
      </c>
      <c r="AE33">
        <f>D33*3</f>
        <v>207</v>
      </c>
      <c r="AF33">
        <f>E33*8</f>
        <v>24</v>
      </c>
      <c r="AG33">
        <f>-1*(F33/2)</f>
        <v>-16</v>
      </c>
      <c r="AH33">
        <f>G33*-1</f>
        <v>-1</v>
      </c>
      <c r="AI33">
        <f>H33*13</f>
        <v>0</v>
      </c>
      <c r="AJ33">
        <f>I33*5</f>
        <v>0</v>
      </c>
      <c r="AK33">
        <f>J33*-1</f>
        <v>0</v>
      </c>
      <c r="AL33">
        <f>SUM(X33:AC33)</f>
        <v>16</v>
      </c>
      <c r="AM33">
        <f>SUM(AD33:AL33)</f>
        <v>339.5</v>
      </c>
      <c r="AN33">
        <f>SUM(C33:G33,J33)</f>
        <v>324</v>
      </c>
      <c r="AO33" s="1">
        <f>AM33/AN33</f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>AM34-U34</f>
        <v>133.5</v>
      </c>
      <c r="X34">
        <f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>C34*0.5</f>
        <v>140.5</v>
      </c>
      <c r="AE34">
        <f>D34*3</f>
        <v>303</v>
      </c>
      <c r="AF34">
        <f>E34*8</f>
        <v>32</v>
      </c>
      <c r="AG34">
        <f>-1*(F34/2)</f>
        <v>-21.5</v>
      </c>
      <c r="AH34">
        <f>G34*-1</f>
        <v>-3</v>
      </c>
      <c r="AI34">
        <f>H34*13</f>
        <v>0</v>
      </c>
      <c r="AJ34">
        <f>I34*5</f>
        <v>0</v>
      </c>
      <c r="AK34">
        <f>J34*-1</f>
        <v>0</v>
      </c>
      <c r="AL34">
        <f>SUM(X34:AC34)</f>
        <v>40</v>
      </c>
      <c r="AM34">
        <f>SUM(AD34:AL34)</f>
        <v>491</v>
      </c>
      <c r="AN34">
        <f>SUM(C34:G34,J34)</f>
        <v>432</v>
      </c>
      <c r="AO34" s="1">
        <f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>AM35-U35</f>
        <v>17.5</v>
      </c>
      <c r="X35">
        <f>IF(O35=1,50,IF(O35=2,25,IF(O35=3,18,IF(O35=4,16,IF(O35=5,14,IF(O35=6,12,IF(O35=7,10,IF(O35=8,9,IF(O35=10,7,IF(O35&lt;=15,6,IF(O35&lt;=20,5,IF(O35&lt;=25,4,IF(O35&lt;=30,3,IF(O35&lt;=40,2,IF(O35&lt;=50,1,IF(O35&gt;50,0))))))))))))))))</f>
        <v>9</v>
      </c>
      <c r="Y35">
        <f>IF(P35=1,50,IF(P35=2,25,IF(P35=3,18,IF(P35=4,16,IF(P35=5,14,IF(P35=6,12,IF(P35=7,10,IF(P35=8,9,IF(P35=10,7,IF(P35&lt;=15,6,IF(P35&lt;=20,5,IF(P35&lt;=25,4,IF(P35&lt;=30,3,IF(P35&lt;=40,2,IF(P35&lt;=50,1,IF(P35&gt;50,0))))))))))))))))</f>
        <v>6</v>
      </c>
      <c r="Z35">
        <f>IF(Q35=1,50,IF(Q35=2,25,IF(Q35=3,18,IF(Q35=4,16,IF(Q35=5,14,IF(Q35=6,12,IF(Q35=7,10,IF(Q35=8,9,IF(Q35=10,7,IF(Q35&lt;=15,6,IF(Q35&lt;=20,5,IF(Q35&lt;=25,4,IF(Q35&lt;=30,3,IF(Q35&lt;=40,2,IF(Q35&lt;=50,1,IF(Q35&gt;50,0))))))))))))))))</f>
        <v>6</v>
      </c>
      <c r="AA35">
        <f>IF(R35=1,50,IF(R35=2,25,IF(R35=3,18,IF(R35=4,16,IF(R35=5,14,IF(R35=6,12,IF(R35=7,10,IF(R35=8,9,IF(R35=10,7,IF(R35&lt;=15,6,IF(R35&lt;=20,5,IF(R35&lt;=25,4,IF(R35&lt;=30,3,IF(R35&lt;=40,2,IF(R35&lt;=50,1,IF(R35&gt;50,0))))))))))))))))</f>
        <v>2</v>
      </c>
      <c r="AB35">
        <f>IF(S35=1,50,IF(S35=2,25,IF(S35=3,18,IF(S35=4,16,IF(S35=5,14,IF(S35=6,12,IF(S35=7,10,IF(S35=8,9,IF(S35=10,7,IF(S35&lt;=15,6,IF(S35&lt;=20,5,IF(S35&lt;=25,4,IF(S35&lt;=30,3,IF(S35&lt;=40,2,IF(S35&lt;=50,1,IF(S35&gt;50,0))))))))))))))))</f>
        <v>0</v>
      </c>
      <c r="AC35">
        <f>IF(T35=1,50,IF(T35=2,25,IF(T35=3,18,IF(T35=4,16,IF(T35=5,14,IF(T35=6,12,IF(T35=7,10,IF(T35=8,9,IF(T35=10,7,IF(T35&lt;=15,6,IF(T35&lt;=20,5,IF(T35&lt;=25,4,IF(T35&lt;=30,3,IF(T35&lt;=40,2,IF(T35&lt;=50,1,IF(T35&gt;50,0))))))))))))))))</f>
        <v>0</v>
      </c>
      <c r="AD35">
        <f>C35*0.5</f>
        <v>117</v>
      </c>
      <c r="AE35">
        <f>D35*3</f>
        <v>249</v>
      </c>
      <c r="AF35">
        <f>E35*8</f>
        <v>8</v>
      </c>
      <c r="AG35">
        <f>-1*(F35/2)</f>
        <v>-20</v>
      </c>
      <c r="AH35">
        <f>G35*-1</f>
        <v>-2</v>
      </c>
      <c r="AI35">
        <f>H35*13</f>
        <v>0</v>
      </c>
      <c r="AJ35">
        <f>I35*5</f>
        <v>0</v>
      </c>
      <c r="AK35">
        <f>J35*-1</f>
        <v>0</v>
      </c>
      <c r="AL35">
        <f>SUM(X35:AC35)</f>
        <v>23</v>
      </c>
      <c r="AM35">
        <f>SUM(AD35:AL35)</f>
        <v>375</v>
      </c>
      <c r="AN35">
        <f>SUM(C35:G35,J35)</f>
        <v>360</v>
      </c>
      <c r="AO35" s="1">
        <f>AM35/AN35</f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>AM36-U36</f>
        <v>-33</v>
      </c>
      <c r="X36">
        <f>IF(O36=1,50,IF(O36=2,25,IF(O36=3,18,IF(O36=4,16,IF(O36=5,14,IF(O36=6,12,IF(O36=7,10,IF(O36=8,9,IF(O36=10,7,IF(O36&lt;=15,6,IF(O36&lt;=20,5,IF(O36&lt;=25,4,IF(O36&lt;=30,3,IF(O36&lt;=40,2,IF(O36&lt;=50,1,IF(O36&gt;50,0))))))))))))))))</f>
        <v>3</v>
      </c>
      <c r="Y36">
        <f>IF(P36=1,50,IF(P36=2,25,IF(P36=3,18,IF(P36=4,16,IF(P36=5,14,IF(P36=6,12,IF(P36=7,10,IF(P36=8,9,IF(P36=10,7,IF(P36&lt;=15,6,IF(P36&lt;=20,5,IF(P36&lt;=25,4,IF(P36&lt;=30,3,IF(P36&lt;=40,2,IF(P36&lt;=50,1,IF(P36&gt;50,0))))))))))))))))</f>
        <v>1</v>
      </c>
      <c r="Z36">
        <f>IF(Q36=1,50,IF(Q36=2,25,IF(Q36=3,18,IF(Q36=4,16,IF(Q36=5,14,IF(Q36=6,12,IF(Q36=7,10,IF(Q36=8,9,IF(Q36=10,7,IF(Q36&lt;=15,6,IF(Q36&lt;=20,5,IF(Q36&lt;=25,4,IF(Q36&lt;=30,3,IF(Q36&lt;=40,2,IF(Q36&lt;=50,1,IF(Q36&gt;50,0))))))))))))))))</f>
        <v>1</v>
      </c>
      <c r="AA36">
        <f>IF(R36=1,50,IF(R36=2,25,IF(R36=3,18,IF(R36=4,16,IF(R36=5,14,IF(R36=6,12,IF(R36=7,10,IF(R36=8,9,IF(R36=10,7,IF(R36&lt;=15,6,IF(R36&lt;=20,5,IF(R36&lt;=25,4,IF(R36&lt;=30,3,IF(R36&lt;=40,2,IF(R36&lt;=50,1,IF(R36&gt;50,0))))))))))))))))</f>
        <v>0</v>
      </c>
      <c r="AB36">
        <f>IF(S36=1,50,IF(S36=2,25,IF(S36=3,18,IF(S36=4,16,IF(S36=5,14,IF(S36=6,12,IF(S36=7,10,IF(S36=8,9,IF(S36=10,7,IF(S36&lt;=15,6,IF(S36&lt;=20,5,IF(S36&lt;=25,4,IF(S36&lt;=30,3,IF(S36&lt;=40,2,IF(S36&lt;=50,1,IF(S36&gt;50,0))))))))))))))))</f>
        <v>0</v>
      </c>
      <c r="AC36">
        <f>IF(T36=1,50,IF(T36=2,25,IF(T36=3,18,IF(T36=4,16,IF(T36=5,14,IF(T36=6,12,IF(T36=7,10,IF(T36=8,9,IF(T36=10,7,IF(T36&lt;=15,6,IF(T36&lt;=20,5,IF(T36&lt;=25,4,IF(T36&lt;=30,3,IF(T36&lt;=40,2,IF(T36&lt;=50,1,IF(T36&gt;50,0))))))))))))))))</f>
        <v>0</v>
      </c>
      <c r="AD36">
        <f>C36*0.5</f>
        <v>119.5</v>
      </c>
      <c r="AE36">
        <f>D36*3</f>
        <v>210</v>
      </c>
      <c r="AF36">
        <f>E36*8</f>
        <v>16</v>
      </c>
      <c r="AG36">
        <f>-1*(F36/2)</f>
        <v>-23</v>
      </c>
      <c r="AH36">
        <f>G36*-1</f>
        <v>-2</v>
      </c>
      <c r="AI36">
        <f>H36*13</f>
        <v>0</v>
      </c>
      <c r="AJ36">
        <f>I36*5</f>
        <v>0</v>
      </c>
      <c r="AK36">
        <f>J36*-1</f>
        <v>-1</v>
      </c>
      <c r="AL36">
        <f>SUM(X36:AC36)</f>
        <v>5</v>
      </c>
      <c r="AM36">
        <f>SUM(AD36:AL36)</f>
        <v>324.5</v>
      </c>
      <c r="AN36">
        <f>SUM(C36:G36,J36)</f>
        <v>360</v>
      </c>
      <c r="AO36" s="1">
        <f>AM36/AN36</f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30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>AM37-U37</f>
        <v>173</v>
      </c>
      <c r="X37">
        <f>IF(O37=1,50,IF(O37=2,25,IF(O37=3,18,IF(O37=4,16,IF(O37=5,14,IF(O37=6,12,IF(O37=7,10,IF(O37=8,9,IF(O37=10,7,IF(O37&lt;=15,6,IF(O37&lt;=20,5,IF(O37&lt;=25,4,IF(O37&lt;=30,3,IF(O37&lt;=40,2,IF(O37&lt;=50,1,IF(O37&gt;50,0))))))))))))))))</f>
        <v>18</v>
      </c>
      <c r="Y37">
        <f>IF(P37=1,50,IF(P37=2,25,IF(P37=3,18,IF(P37=4,16,IF(P37=5,14,IF(P37=6,12,IF(P37=7,10,IF(P37=8,9,IF(P37=10,7,IF(P37&lt;=15,6,IF(P37&lt;=20,5,IF(P37&lt;=25,4,IF(P37&lt;=30,3,IF(P37&lt;=40,2,IF(P37&lt;=50,1,IF(P37&gt;50,0))))))))))))))))</f>
        <v>14</v>
      </c>
      <c r="Z37">
        <f>IF(Q37=1,50,IF(Q37=2,25,IF(Q37=3,18,IF(Q37=4,16,IF(Q37=5,14,IF(Q37=6,12,IF(Q37=7,10,IF(Q37=8,9,IF(Q37=10,7,IF(Q37&lt;=15,6,IF(Q37&lt;=20,5,IF(Q37&lt;=25,4,IF(Q37&lt;=30,3,IF(Q37&lt;=40,2,IF(Q37&lt;=50,1,IF(Q37&gt;50,0))))))))))))))))</f>
        <v>9</v>
      </c>
      <c r="AA37">
        <f>IF(R37=1,50,IF(R37=2,25,IF(R37=3,18,IF(R37=4,16,IF(R37=5,14,IF(R37=6,12,IF(R37=7,10,IF(R37=8,9,IF(R37=10,7,IF(R37&lt;=15,6,IF(R37&lt;=20,5,IF(R37&lt;=25,4,IF(R37&lt;=30,3,IF(R37&lt;=40,2,IF(R37&lt;=50,1,IF(R37&gt;50,0))))))))))))))))</f>
        <v>5</v>
      </c>
      <c r="AB37">
        <f>IF(S37=1,50,IF(S37=2,25,IF(S37=3,18,IF(S37=4,16,IF(S37=5,14,IF(S37=6,12,IF(S37=7,10,IF(S37=8,9,IF(S37=10,7,IF(S37&lt;=15,6,IF(S37&lt;=20,5,IF(S37&lt;=25,4,IF(S37&lt;=30,3,IF(S37&lt;=40,2,IF(S37&lt;=50,1,IF(S37&gt;50,0))))))))))))))))</f>
        <v>4</v>
      </c>
      <c r="AC37">
        <f>IF(T37=1,50,IF(T37=2,25,IF(T37=3,18,IF(T37=4,16,IF(T37=5,14,IF(T37=6,12,IF(T37=7,10,IF(T37=8,9,IF(T37=10,7,IF(T37&lt;=15,6,IF(T37&lt;=20,5,IF(T37&lt;=25,4,IF(T37&lt;=30,3,IF(T37&lt;=40,2,IF(T37&lt;=50,1,IF(T37&gt;50,0))))))))))))))))</f>
        <v>3</v>
      </c>
      <c r="AD37">
        <f>C37*0.5</f>
        <v>136.5</v>
      </c>
      <c r="AE37">
        <f>D37*3</f>
        <v>339</v>
      </c>
      <c r="AF37">
        <f>E37*8</f>
        <v>24</v>
      </c>
      <c r="AG37">
        <f>-1*(F37/2)</f>
        <v>-21</v>
      </c>
      <c r="AH37">
        <f>G37*-1</f>
        <v>-1</v>
      </c>
      <c r="AI37">
        <f>H37*13</f>
        <v>0</v>
      </c>
      <c r="AJ37">
        <f>I37*5</f>
        <v>0</v>
      </c>
      <c r="AK37">
        <f>J37*-1</f>
        <v>0</v>
      </c>
      <c r="AL37">
        <f>SUM(X37:AC37)</f>
        <v>53</v>
      </c>
      <c r="AM37">
        <f>SUM(AD37:AL37)</f>
        <v>530.5</v>
      </c>
      <c r="AN37">
        <f>SUM(C37:G37,J37)</f>
        <v>432</v>
      </c>
      <c r="AO37" s="1">
        <f>AM37/AN37</f>
        <v>1.2280092592592593</v>
      </c>
    </row>
    <row r="38" spans="1:41" x14ac:dyDescent="0.25">
      <c r="A38" t="s">
        <v>30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>AM38-U38</f>
        <v>-136.5</v>
      </c>
      <c r="X38">
        <f>IF(O38=1,50,IF(O38=2,25,IF(O38=3,18,IF(O38=4,16,IF(O38=5,14,IF(O38=6,12,IF(O38=7,10,IF(O38=8,9,IF(O38=10,7,IF(O38&lt;=15,6,IF(O38&lt;=20,5,IF(O38&lt;=25,4,IF(O38&lt;=30,3,IF(O38&lt;=40,2,IF(O38&lt;=50,1,IF(O38&gt;50,0))))))))))))))))</f>
        <v>9</v>
      </c>
      <c r="Y38">
        <f>IF(P38=1,50,IF(P38=2,25,IF(P38=3,18,IF(P38=4,16,IF(P38=5,14,IF(P38=6,12,IF(P38=7,10,IF(P38=8,9,IF(P38=10,7,IF(P38&lt;=15,6,IF(P38&lt;=20,5,IF(P38&lt;=25,4,IF(P38&lt;=30,3,IF(P38&lt;=40,2,IF(P38&lt;=50,1,IF(P38&gt;50,0))))))))))))))))</f>
        <v>0</v>
      </c>
      <c r="Z38">
        <f>IF(Q38=1,50,IF(Q38=2,25,IF(Q38=3,18,IF(Q38=4,16,IF(Q38=5,14,IF(Q38=6,12,IF(Q38=7,10,IF(Q38=8,9,IF(Q38=10,7,IF(Q38&lt;=15,6,IF(Q38&lt;=20,5,IF(Q38&lt;=25,4,IF(Q38&lt;=30,3,IF(Q38&lt;=40,2,IF(Q38&lt;=50,1,IF(Q38&gt;50,0))))))))))))))))</f>
        <v>0</v>
      </c>
      <c r="AA38">
        <f>IF(R38=1,50,IF(R38=2,25,IF(R38=3,18,IF(R38=4,16,IF(R38=5,14,IF(R38=6,12,IF(R38=7,10,IF(R38=8,9,IF(R38=10,7,IF(R38&lt;=15,6,IF(R38&lt;=20,5,IF(R38&lt;=25,4,IF(R38&lt;=30,3,IF(R38&lt;=40,2,IF(R38&lt;=50,1,IF(R38&gt;50,0))))))))))))))))</f>
        <v>0</v>
      </c>
      <c r="AB38">
        <f>IF(S38=1,50,IF(S38=2,25,IF(S38=3,18,IF(S38=4,16,IF(S38=5,14,IF(S38=6,12,IF(S38=7,10,IF(S38=8,9,IF(S38=10,7,IF(S38&lt;=15,6,IF(S38&lt;=20,5,IF(S38&lt;=25,4,IF(S38&lt;=30,3,IF(S38&lt;=40,2,IF(S38&lt;=50,1,IF(S38&gt;50,0))))))))))))))))</f>
        <v>0</v>
      </c>
      <c r="AC38">
        <f>IF(T38=1,50,IF(T38=2,25,IF(T38=3,18,IF(T38=4,16,IF(T38=5,14,IF(T38=6,12,IF(T38=7,10,IF(T38=8,9,IF(T38=10,7,IF(T38&lt;=15,6,IF(T38&lt;=20,5,IF(T38&lt;=25,4,IF(T38&lt;=30,3,IF(T38&lt;=40,2,IF(T38&lt;=50,1,IF(T38&gt;50,0))))))))))))))))</f>
        <v>0</v>
      </c>
      <c r="AD38">
        <f>C38*0.5</f>
        <v>88</v>
      </c>
      <c r="AE38">
        <f>D38*3</f>
        <v>126</v>
      </c>
      <c r="AF38">
        <f>E38*8</f>
        <v>16</v>
      </c>
      <c r="AG38">
        <f>-1*(F38/2)</f>
        <v>-14</v>
      </c>
      <c r="AH38">
        <f>G38*-1</f>
        <v>-3</v>
      </c>
      <c r="AI38">
        <f>H38*13</f>
        <v>0</v>
      </c>
      <c r="AJ38">
        <f>I38*5</f>
        <v>0</v>
      </c>
      <c r="AK38">
        <f>J38*-1</f>
        <v>-1</v>
      </c>
      <c r="AL38">
        <f>SUM(X38:AC38)</f>
        <v>9</v>
      </c>
      <c r="AM38">
        <f>SUM(AD38:AL38)</f>
        <v>221</v>
      </c>
      <c r="AN38">
        <f>SUM(C38:G38,J38)</f>
        <v>252</v>
      </c>
      <c r="AO38" s="1">
        <f>AM38/AN38</f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>AM39-U39</f>
        <v>-17.5</v>
      </c>
      <c r="X39">
        <f>IF(O39=1,50,IF(O39=2,25,IF(O39=3,18,IF(O39=4,16,IF(O39=5,14,IF(O39=6,12,IF(O39=7,10,IF(O39=8,9,IF(O39=10,7,IF(O39&lt;=15,6,IF(O39&lt;=20,5,IF(O39&lt;=25,4,IF(O39&lt;=30,3,IF(O39&lt;=40,2,IF(O39&lt;=50,1,IF(O39&gt;50,0))))))))))))))))</f>
        <v>5</v>
      </c>
      <c r="Y39">
        <f>IF(P39=1,50,IF(P39=2,25,IF(P39=3,18,IF(P39=4,16,IF(P39=5,14,IF(P39=6,12,IF(P39=7,10,IF(P39=8,9,IF(P39=10,7,IF(P39&lt;=15,6,IF(P39&lt;=20,5,IF(P39&lt;=25,4,IF(P39&lt;=30,3,IF(P39&lt;=40,2,IF(P39&lt;=50,1,IF(P39&gt;50,0))))))))))))))))</f>
        <v>1</v>
      </c>
      <c r="Z39">
        <f>IF(Q39=1,50,IF(Q39=2,25,IF(Q39=3,18,IF(Q39=4,16,IF(Q39=5,14,IF(Q39=6,12,IF(Q39=7,10,IF(Q39=8,9,IF(Q39=10,7,IF(Q39&lt;=15,6,IF(Q39&lt;=20,5,IF(Q39&lt;=25,4,IF(Q39&lt;=30,3,IF(Q39&lt;=40,2,IF(Q39&lt;=50,1,IF(Q39&gt;50,0))))))))))))))))</f>
        <v>1</v>
      </c>
      <c r="AA39">
        <f>IF(R39=1,50,IF(R39=2,25,IF(R39=3,18,IF(R39=4,16,IF(R39=5,14,IF(R39=6,12,IF(R39=7,10,IF(R39=8,9,IF(R39=10,7,IF(R39&lt;=15,6,IF(R39&lt;=20,5,IF(R39&lt;=25,4,IF(R39&lt;=30,3,IF(R39&lt;=40,2,IF(R39&lt;=50,1,IF(R39&gt;50,0))))))))))))))))</f>
        <v>0</v>
      </c>
      <c r="AB39">
        <f>IF(S39=1,50,IF(S39=2,25,IF(S39=3,18,IF(S39=4,16,IF(S39=5,14,IF(S39=6,12,IF(S39=7,10,IF(S39=8,9,IF(S39=10,7,IF(S39&lt;=15,6,IF(S39&lt;=20,5,IF(S39&lt;=25,4,IF(S39&lt;=30,3,IF(S39&lt;=40,2,IF(S39&lt;=50,1,IF(S39&gt;50,0))))))))))))))))</f>
        <v>0</v>
      </c>
      <c r="AC39">
        <f>IF(T39=1,50,IF(T39=2,25,IF(T39=3,18,IF(T39=4,16,IF(T39=5,14,IF(T39=6,12,IF(T39=7,10,IF(T39=8,9,IF(T39=10,7,IF(T39&lt;=15,6,IF(T39&lt;=20,5,IF(T39&lt;=25,4,IF(T39&lt;=30,3,IF(T39&lt;=40,2,IF(T39&lt;=50,1,IF(T39&gt;50,0))))))))))))))))</f>
        <v>0</v>
      </c>
      <c r="AD39">
        <f>C39*0.5</f>
        <v>111.5</v>
      </c>
      <c r="AE39">
        <f>D39*3</f>
        <v>228</v>
      </c>
      <c r="AF39">
        <f>E39*8</f>
        <v>24</v>
      </c>
      <c r="AG39">
        <f>-1*(F39/2)</f>
        <v>-27.5</v>
      </c>
      <c r="AH39">
        <f>G39*-1</f>
        <v>-3</v>
      </c>
      <c r="AI39">
        <f>H39*13</f>
        <v>0</v>
      </c>
      <c r="AJ39">
        <f>I39*5</f>
        <v>0</v>
      </c>
      <c r="AK39">
        <f>J39*-1</f>
        <v>0</v>
      </c>
      <c r="AL39">
        <f>SUM(X39:AC39)</f>
        <v>7</v>
      </c>
      <c r="AM39">
        <f>SUM(AD39:AL39)</f>
        <v>340</v>
      </c>
      <c r="AN39">
        <f>SUM(C39:G39,J39)</f>
        <v>360</v>
      </c>
      <c r="AO39" s="1">
        <f>AM39/AN39</f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>AM40-U40</f>
        <v>-38.5</v>
      </c>
      <c r="X40">
        <f>IF(O40=1,50,IF(O40=2,25,IF(O40=3,18,IF(O40=4,16,IF(O40=5,14,IF(O40=6,12,IF(O40=7,10,IF(O40=8,9,IF(O40=10,7,IF(O40&lt;=15,6,IF(O40&lt;=20,5,IF(O40&lt;=25,4,IF(O40&lt;=30,3,IF(O40&lt;=40,2,IF(O40&lt;=50,1,IF(O40&gt;50,0))))))))))))))))</f>
        <v>6</v>
      </c>
      <c r="Y40">
        <f>IF(P40=1,50,IF(P40=2,25,IF(P40=3,18,IF(P40=4,16,IF(P40=5,14,IF(P40=6,12,IF(P40=7,10,IF(P40=8,9,IF(P40=10,7,IF(P40&lt;=15,6,IF(P40&lt;=20,5,IF(P40&lt;=25,4,IF(P40&lt;=30,3,IF(P40&lt;=40,2,IF(P40&lt;=50,1,IF(P40&gt;50,0))))))))))))))))</f>
        <v>5</v>
      </c>
      <c r="Z40">
        <f>IF(Q40=1,50,IF(Q40=2,25,IF(Q40=3,18,IF(Q40=4,16,IF(Q40=5,14,IF(Q40=6,12,IF(Q40=7,10,IF(Q40=8,9,IF(Q40=10,7,IF(Q40&lt;=15,6,IF(Q40&lt;=20,5,IF(Q40&lt;=25,4,IF(Q40&lt;=30,3,IF(Q40&lt;=40,2,IF(Q40&lt;=50,1,IF(Q40&gt;50,0))))))))))))))))</f>
        <v>0</v>
      </c>
      <c r="AA40">
        <f>IF(R40=1,50,IF(R40=2,25,IF(R40=3,18,IF(R40=4,16,IF(R40=5,14,IF(R40=6,12,IF(R40=7,10,IF(R40=8,9,IF(R40=10,7,IF(R40&lt;=15,6,IF(R40&lt;=20,5,IF(R40&lt;=25,4,IF(R40&lt;=30,3,IF(R40&lt;=40,2,IF(R40&lt;=50,1,IF(R40&gt;50,0))))))))))))))))</f>
        <v>0</v>
      </c>
      <c r="AB40">
        <f>IF(S40=1,50,IF(S40=2,25,IF(S40=3,18,IF(S40=4,16,IF(S40=5,14,IF(S40=6,12,IF(S40=7,10,IF(S40=8,9,IF(S40=10,7,IF(S40&lt;=15,6,IF(S40&lt;=20,5,IF(S40&lt;=25,4,IF(S40&lt;=30,3,IF(S40&lt;=40,2,IF(S40&lt;=50,1,IF(S40&gt;50,0))))))))))))))))</f>
        <v>0</v>
      </c>
      <c r="AC40">
        <f>IF(T40=1,50,IF(T40=2,25,IF(T40=3,18,IF(T40=4,16,IF(T40=5,14,IF(T40=6,12,IF(T40=7,10,IF(T40=8,9,IF(T40=10,7,IF(T40&lt;=15,6,IF(T40&lt;=20,5,IF(T40&lt;=25,4,IF(T40&lt;=30,3,IF(T40&lt;=40,2,IF(T40&lt;=50,1,IF(T40&gt;50,0))))))))))))))))</f>
        <v>0</v>
      </c>
      <c r="AD40">
        <f>C40*0.5</f>
        <v>98</v>
      </c>
      <c r="AE40">
        <f>D40*3</f>
        <v>222</v>
      </c>
      <c r="AF40">
        <f>E40*8</f>
        <v>16</v>
      </c>
      <c r="AG40">
        <f>-1*(F40/2)</f>
        <v>-24</v>
      </c>
      <c r="AH40">
        <f>G40*-1</f>
        <v>-4</v>
      </c>
      <c r="AI40">
        <f>H40*13</f>
        <v>0</v>
      </c>
      <c r="AJ40">
        <f>I40*5</f>
        <v>0</v>
      </c>
      <c r="AK40">
        <f>J40*-1</f>
        <v>0</v>
      </c>
      <c r="AL40">
        <f>SUM(X40:AC40)</f>
        <v>11</v>
      </c>
      <c r="AM40">
        <f>SUM(AD40:AL40)</f>
        <v>319</v>
      </c>
      <c r="AN40">
        <f>SUM(C40:G40,J40)</f>
        <v>324</v>
      </c>
      <c r="AO40" s="1">
        <f>AM40/AN40</f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>AM41-U41</f>
        <v>66</v>
      </c>
      <c r="X41">
        <f>IF(O41=1,50,IF(O41=2,25,IF(O41=3,18,IF(O41=4,16,IF(O41=5,14,IF(O41=6,12,IF(O41=7,10,IF(O41=8,9,IF(O41=10,7,IF(O41&lt;=15,6,IF(O41&lt;=20,5,IF(O41&lt;=25,4,IF(O41&lt;=30,3,IF(O41&lt;=40,2,IF(O41&lt;=50,1,IF(O41&gt;50,0))))))))))))))))</f>
        <v>4</v>
      </c>
      <c r="Y41">
        <f>IF(P41=1,50,IF(P41=2,25,IF(P41=3,18,IF(P41=4,16,IF(P41=5,14,IF(P41=6,12,IF(P41=7,10,IF(P41=8,9,IF(P41=10,7,IF(P41&lt;=15,6,IF(P41&lt;=20,5,IF(P41&lt;=25,4,IF(P41&lt;=30,3,IF(P41&lt;=40,2,IF(P41&lt;=50,1,IF(P41&gt;50,0))))))))))))))))</f>
        <v>4</v>
      </c>
      <c r="Z41">
        <f>IF(Q41=1,50,IF(Q41=2,25,IF(Q41=3,18,IF(Q41=4,16,IF(Q41=5,14,IF(Q41=6,12,IF(Q41=7,10,IF(Q41=8,9,IF(Q41=10,7,IF(Q41&lt;=15,6,IF(Q41&lt;=20,5,IF(Q41&lt;=25,4,IF(Q41&lt;=30,3,IF(Q41&lt;=40,2,IF(Q41&lt;=50,1,IF(Q41&gt;50,0))))))))))))))))</f>
        <v>3</v>
      </c>
      <c r="AA41">
        <f>IF(R41=1,50,IF(R41=2,25,IF(R41=3,18,IF(R41=4,16,IF(R41=5,14,IF(R41=6,12,IF(R41=7,10,IF(R41=8,9,IF(R41=10,7,IF(R41&lt;=15,6,IF(R41&lt;=20,5,IF(R41&lt;=25,4,IF(R41&lt;=30,3,IF(R41&lt;=40,2,IF(R41&lt;=50,1,IF(R41&gt;50,0))))))))))))))))</f>
        <v>0</v>
      </c>
      <c r="AB41">
        <f>IF(S41=1,50,IF(S41=2,25,IF(S41=3,18,IF(S41=4,16,IF(S41=5,14,IF(S41=6,12,IF(S41=7,10,IF(S41=8,9,IF(S41=10,7,IF(S41&lt;=15,6,IF(S41&lt;=20,5,IF(S41&lt;=25,4,IF(S41&lt;=30,3,IF(S41&lt;=40,2,IF(S41&lt;=50,1,IF(S41&gt;50,0))))))))))))))))</f>
        <v>0</v>
      </c>
      <c r="AC41">
        <f>IF(T41=1,50,IF(T41=2,25,IF(T41=3,18,IF(T41=4,16,IF(T41=5,14,IF(T41=6,12,IF(T41=7,10,IF(T41=8,9,IF(T41=10,7,IF(T41&lt;=15,6,IF(T41&lt;=20,5,IF(T41&lt;=25,4,IF(T41&lt;=30,3,IF(T41&lt;=40,2,IF(T41&lt;=50,1,IF(T41&gt;50,0))))))))))))))))</f>
        <v>0</v>
      </c>
      <c r="AD41">
        <f>C41*0.5</f>
        <v>135.5</v>
      </c>
      <c r="AE41">
        <f>D41*3</f>
        <v>279</v>
      </c>
      <c r="AF41">
        <f>E41*8</f>
        <v>32</v>
      </c>
      <c r="AG41">
        <f>-1*(F41/2)</f>
        <v>-30</v>
      </c>
      <c r="AH41">
        <f>G41*-1</f>
        <v>-4</v>
      </c>
      <c r="AI41">
        <f>H41*13</f>
        <v>0</v>
      </c>
      <c r="AJ41">
        <f>I41*5</f>
        <v>0</v>
      </c>
      <c r="AK41">
        <f>J41*-1</f>
        <v>0</v>
      </c>
      <c r="AL41">
        <f>SUM(X41:AC41)</f>
        <v>11</v>
      </c>
      <c r="AM41">
        <f>SUM(AD41:AL41)</f>
        <v>423.5</v>
      </c>
      <c r="AN41">
        <f>SUM(C41:G41,J41)</f>
        <v>432</v>
      </c>
      <c r="AO41" s="1">
        <f>AM41/AN41</f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>AM42-U42</f>
        <v>-6.5</v>
      </c>
      <c r="X42">
        <f>IF(O42=1,50,IF(O42=2,25,IF(O42=3,18,IF(O42=4,16,IF(O42=5,14,IF(O42=6,12,IF(O42=7,10,IF(O42=8,9,IF(O42=10,7,IF(O42&lt;=15,6,IF(O42&lt;=20,5,IF(O42&lt;=25,4,IF(O42&lt;=30,3,IF(O42&lt;=40,2,IF(O42&lt;=50,1,IF(O42&gt;50,0))))))))))))))))</f>
        <v>16</v>
      </c>
      <c r="Y42">
        <f>IF(P42=1,50,IF(P42=2,25,IF(P42=3,18,IF(P42=4,16,IF(P42=5,14,IF(P42=6,12,IF(P42=7,10,IF(P42=8,9,IF(P42=10,7,IF(P42&lt;=15,6,IF(P42&lt;=20,5,IF(P42&lt;=25,4,IF(P42&lt;=30,3,IF(P42&lt;=40,2,IF(P42&lt;=50,1,IF(P42&gt;50,0))))))))))))))))</f>
        <v>10</v>
      </c>
      <c r="Z42">
        <f>IF(Q42=1,50,IF(Q42=2,25,IF(Q42=3,18,IF(Q42=4,16,IF(Q42=5,14,IF(Q42=6,12,IF(Q42=7,10,IF(Q42=8,9,IF(Q42=10,7,IF(Q42&lt;=15,6,IF(Q42&lt;=20,5,IF(Q42&lt;=25,4,IF(Q42&lt;=30,3,IF(Q42&lt;=40,2,IF(Q42&lt;=50,1,IF(Q42&gt;50,0))))))))))))))))</f>
        <v>7</v>
      </c>
      <c r="AA42">
        <f>IF(R42=1,50,IF(R42=2,25,IF(R42=3,18,IF(R42=4,16,IF(R42=5,14,IF(R42=6,12,IF(R42=7,10,IF(R42=8,9,IF(R42=10,7,IF(R42&lt;=15,6,IF(R42&lt;=20,5,IF(R42&lt;=25,4,IF(R42&lt;=30,3,IF(R42&lt;=40,2,IF(R42&lt;=50,1,IF(R42&gt;50,0))))))))))))))))</f>
        <v>1</v>
      </c>
      <c r="AB42">
        <f>IF(S42=1,50,IF(S42=2,25,IF(S42=3,18,IF(S42=4,16,IF(S42=5,14,IF(S42=6,12,IF(S42=7,10,IF(S42=8,9,IF(S42=10,7,IF(S42&lt;=15,6,IF(S42&lt;=20,5,IF(S42&lt;=25,4,IF(S42&lt;=30,3,IF(S42&lt;=40,2,IF(S42&lt;=50,1,IF(S42&gt;50,0))))))))))))))))</f>
        <v>0</v>
      </c>
      <c r="AC42">
        <f>IF(T42=1,50,IF(T42=2,25,IF(T42=3,18,IF(T42=4,16,IF(T42=5,14,IF(T42=6,12,IF(T42=7,10,IF(T42=8,9,IF(T42=10,7,IF(T42&lt;=15,6,IF(T42&lt;=20,5,IF(T42&lt;=25,4,IF(T42&lt;=30,3,IF(T42&lt;=40,2,IF(T42&lt;=50,1,IF(T42&gt;50,0))))))))))))))))</f>
        <v>0</v>
      </c>
      <c r="AD42">
        <f>C42*0.5</f>
        <v>104.5</v>
      </c>
      <c r="AE42">
        <f>D42*3</f>
        <v>210</v>
      </c>
      <c r="AF42">
        <f>E42*8</f>
        <v>16</v>
      </c>
      <c r="AG42">
        <f>-1*(F42/2)</f>
        <v>-20.5</v>
      </c>
      <c r="AH42">
        <f>G42*-1</f>
        <v>-2</v>
      </c>
      <c r="AI42">
        <f>H42*13</f>
        <v>0</v>
      </c>
      <c r="AJ42">
        <f>I42*5</f>
        <v>0</v>
      </c>
      <c r="AK42">
        <f>J42*-1</f>
        <v>0</v>
      </c>
      <c r="AL42">
        <f>SUM(X42:AC42)</f>
        <v>34</v>
      </c>
      <c r="AM42">
        <f>SUM(AD42:AL42)</f>
        <v>342</v>
      </c>
      <c r="AN42">
        <f>SUM(C42:G42,J42)</f>
        <v>324</v>
      </c>
      <c r="AO42" s="1">
        <f>AM42/AN42</f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>AM43-U43</f>
        <v>-50.5</v>
      </c>
      <c r="X43">
        <f>IF(O43=1,50,IF(O43=2,25,IF(O43=3,18,IF(O43=4,16,IF(O43=5,14,IF(O43=6,12,IF(O43=7,10,IF(O43=8,9,IF(O43=10,7,IF(O43&lt;=15,6,IF(O43&lt;=20,5,IF(O43&lt;=25,4,IF(O43&lt;=30,3,IF(O43&lt;=40,2,IF(O43&lt;=50,1,IF(O43&gt;50,0))))))))))))))))</f>
        <v>5</v>
      </c>
      <c r="Y43">
        <f>IF(P43=1,50,IF(P43=2,25,IF(P43=3,18,IF(P43=4,16,IF(P43=5,14,IF(P43=6,12,IF(P43=7,10,IF(P43=8,9,IF(P43=10,7,IF(P43&lt;=15,6,IF(P43&lt;=20,5,IF(P43&lt;=25,4,IF(P43&lt;=30,3,IF(P43&lt;=40,2,IF(P43&lt;=50,1,IF(P43&gt;50,0))))))))))))))))</f>
        <v>5</v>
      </c>
      <c r="Z43">
        <f>IF(Q43=1,50,IF(Q43=2,25,IF(Q43=3,18,IF(Q43=4,16,IF(Q43=5,14,IF(Q43=6,12,IF(Q43=7,10,IF(Q43=8,9,IF(Q43=10,7,IF(Q43&lt;=15,6,IF(Q43&lt;=20,5,IF(Q43&lt;=25,4,IF(Q43&lt;=30,3,IF(Q43&lt;=40,2,IF(Q43&lt;=50,1,IF(Q43&gt;50,0))))))))))))))))</f>
        <v>2</v>
      </c>
      <c r="AA43">
        <f>IF(R43=1,50,IF(R43=2,25,IF(R43=3,18,IF(R43=4,16,IF(R43=5,14,IF(R43=6,12,IF(R43=7,10,IF(R43=8,9,IF(R43=10,7,IF(R43&lt;=15,6,IF(R43&lt;=20,5,IF(R43&lt;=25,4,IF(R43&lt;=30,3,IF(R43&lt;=40,2,IF(R43&lt;=50,1,IF(R43&gt;50,0))))))))))))))))</f>
        <v>1</v>
      </c>
      <c r="AB43">
        <f>IF(S43=1,50,IF(S43=2,25,IF(S43=3,18,IF(S43=4,16,IF(S43=5,14,IF(S43=6,12,IF(S43=7,10,IF(S43=8,9,IF(S43=10,7,IF(S43&lt;=15,6,IF(S43&lt;=20,5,IF(S43&lt;=25,4,IF(S43&lt;=30,3,IF(S43&lt;=40,2,IF(S43&lt;=50,1,IF(S43&gt;50,0))))))))))))))))</f>
        <v>0</v>
      </c>
      <c r="AC43">
        <f>IF(T43=1,50,IF(T43=2,25,IF(T43=3,18,IF(T43=4,16,IF(T43=5,14,IF(T43=6,12,IF(T43=7,10,IF(T43=8,9,IF(T43=10,7,IF(T43&lt;=15,6,IF(T43&lt;=20,5,IF(T43&lt;=25,4,IF(T43&lt;=30,3,IF(T43&lt;=40,2,IF(T43&lt;=50,1,IF(T43&gt;50,0))))))))))))))))</f>
        <v>0</v>
      </c>
      <c r="AD43">
        <f>C43*0.5</f>
        <v>101</v>
      </c>
      <c r="AE43">
        <f>D43*3</f>
        <v>204</v>
      </c>
      <c r="AF43">
        <f>E43*8</f>
        <v>8</v>
      </c>
      <c r="AG43">
        <f>-1*(F43/2)</f>
        <v>-25</v>
      </c>
      <c r="AH43">
        <f>G43*-1</f>
        <v>-3</v>
      </c>
      <c r="AI43">
        <f>H43*13</f>
        <v>0</v>
      </c>
      <c r="AJ43">
        <f>I43*5</f>
        <v>0</v>
      </c>
      <c r="AK43">
        <f>J43*-1</f>
        <v>0</v>
      </c>
      <c r="AL43">
        <f>SUM(X43:AC43)</f>
        <v>13</v>
      </c>
      <c r="AM43">
        <f>SUM(AD43:AL43)</f>
        <v>298</v>
      </c>
      <c r="AN43">
        <f>SUM(C43:G43,J43)</f>
        <v>324</v>
      </c>
      <c r="AO43" s="1">
        <f>AM43/AN43</f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>AM44-U44</f>
        <v>-24.5</v>
      </c>
      <c r="X44">
        <f>IF(O44=1,50,IF(O44=2,25,IF(O44=3,18,IF(O44=4,16,IF(O44=5,14,IF(O44=6,12,IF(O44=7,10,IF(O44=8,9,IF(O44=10,7,IF(O44&lt;=15,6,IF(O44&lt;=20,5,IF(O44&lt;=25,4,IF(O44&lt;=30,3,IF(O44&lt;=40,2,IF(O44&lt;=50,1,IF(O44&gt;50,0))))))))))))))))</f>
        <v>5</v>
      </c>
      <c r="Y44">
        <f>IF(P44=1,50,IF(P44=2,25,IF(P44=3,18,IF(P44=4,16,IF(P44=5,14,IF(P44=6,12,IF(P44=7,10,IF(P44=8,9,IF(P44=10,7,IF(P44&lt;=15,6,IF(P44&lt;=20,5,IF(P44&lt;=25,4,IF(P44&lt;=30,3,IF(P44&lt;=40,2,IF(P44&lt;=50,1,IF(P44&gt;50,0))))))))))))))))</f>
        <v>4</v>
      </c>
      <c r="Z44">
        <f>IF(Q44=1,50,IF(Q44=2,25,IF(Q44=3,18,IF(Q44=4,16,IF(Q44=5,14,IF(Q44=6,12,IF(Q44=7,10,IF(Q44=8,9,IF(Q44=10,7,IF(Q44&lt;=15,6,IF(Q44&lt;=20,5,IF(Q44&lt;=25,4,IF(Q44&lt;=30,3,IF(Q44&lt;=40,2,IF(Q44&lt;=50,1,IF(Q44&gt;50,0))))))))))))))))</f>
        <v>4</v>
      </c>
      <c r="AA44">
        <f>IF(R44=1,50,IF(R44=2,25,IF(R44=3,18,IF(R44=4,16,IF(R44=5,14,IF(R44=6,12,IF(R44=7,10,IF(R44=8,9,IF(R44=10,7,IF(R44&lt;=15,6,IF(R44&lt;=20,5,IF(R44&lt;=25,4,IF(R44&lt;=30,3,IF(R44&lt;=40,2,IF(R44&lt;=50,1,IF(R44&gt;50,0))))))))))))))))</f>
        <v>1</v>
      </c>
      <c r="AB44">
        <f>IF(S44=1,50,IF(S44=2,25,IF(S44=3,18,IF(S44=4,16,IF(S44=5,14,IF(S44=6,12,IF(S44=7,10,IF(S44=8,9,IF(S44=10,7,IF(S44&lt;=15,6,IF(S44&lt;=20,5,IF(S44&lt;=25,4,IF(S44&lt;=30,3,IF(S44&lt;=40,2,IF(S44&lt;=50,1,IF(S44&gt;50,0))))))))))))))))</f>
        <v>0</v>
      </c>
      <c r="AC44">
        <f>IF(T44=1,50,IF(T44=2,25,IF(T44=3,18,IF(T44=4,16,IF(T44=5,14,IF(T44=6,12,IF(T44=7,10,IF(T44=8,9,IF(T44=10,7,IF(T44&lt;=15,6,IF(T44&lt;=20,5,IF(T44&lt;=25,4,IF(T44&lt;=30,3,IF(T44&lt;=40,2,IF(T44&lt;=50,1,IF(T44&gt;50,0))))))))))))))))</f>
        <v>0</v>
      </c>
      <c r="AD44">
        <f>C44*0.5</f>
        <v>115</v>
      </c>
      <c r="AE44">
        <f>D44*3</f>
        <v>210</v>
      </c>
      <c r="AF44">
        <f>E44*8</f>
        <v>16</v>
      </c>
      <c r="AG44">
        <f>-1*(F44/2)</f>
        <v>-27</v>
      </c>
      <c r="AH44">
        <f>G44*-1</f>
        <v>-3</v>
      </c>
      <c r="AI44">
        <f>H44*13</f>
        <v>0</v>
      </c>
      <c r="AJ44">
        <f>I44*5</f>
        <v>0</v>
      </c>
      <c r="AK44">
        <f>J44*-1</f>
        <v>-1</v>
      </c>
      <c r="AL44">
        <f>SUM(X44:AC44)</f>
        <v>14</v>
      </c>
      <c r="AM44">
        <f>SUM(AD44:AL44)</f>
        <v>324</v>
      </c>
      <c r="AN44">
        <f>SUM(C44:G44,J44)</f>
        <v>360</v>
      </c>
      <c r="AO44" s="1">
        <f>AM44/AN44</f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>AM45-U45</f>
        <v>116</v>
      </c>
      <c r="X45">
        <f>IF(O45=1,50,IF(O45=2,25,IF(O45=3,18,IF(O45=4,16,IF(O45=5,14,IF(O45=6,12,IF(O45=7,10,IF(O45=8,9,IF(O45=10,7,IF(O45&lt;=15,6,IF(O45&lt;=20,5,IF(O45&lt;=25,4,IF(O45&lt;=30,3,IF(O45&lt;=40,2,IF(O45&lt;=50,1,IF(O45&gt;50,0))))))))))))))))</f>
        <v>25</v>
      </c>
      <c r="Y45">
        <f>IF(P45=1,50,IF(P45=2,25,IF(P45=3,18,IF(P45=4,16,IF(P45=5,14,IF(P45=6,12,IF(P45=7,10,IF(P45=8,9,IF(P45=10,7,IF(P45&lt;=15,6,IF(P45&lt;=20,5,IF(P45&lt;=25,4,IF(P45&lt;=30,3,IF(P45&lt;=40,2,IF(P45&lt;=50,1,IF(P45&gt;50,0))))))))))))))))</f>
        <v>7</v>
      </c>
      <c r="Z45">
        <f>IF(Q45=1,50,IF(Q45=2,25,IF(Q45=3,18,IF(Q45=4,16,IF(Q45=5,14,IF(Q45=6,12,IF(Q45=7,10,IF(Q45=8,9,IF(Q45=10,7,IF(Q45&lt;=15,6,IF(Q45&lt;=20,5,IF(Q45&lt;=25,4,IF(Q45&lt;=30,3,IF(Q45&lt;=40,2,IF(Q45&lt;=50,1,IF(Q45&gt;50,0))))))))))))))))</f>
        <v>4</v>
      </c>
      <c r="AA45">
        <f>IF(R45=1,50,IF(R45=2,25,IF(R45=3,18,IF(R45=4,16,IF(R45=5,14,IF(R45=6,12,IF(R45=7,10,IF(R45=8,9,IF(R45=10,7,IF(R45&lt;=15,6,IF(R45&lt;=20,5,IF(R45&lt;=25,4,IF(R45&lt;=30,3,IF(R45&lt;=40,2,IF(R45&lt;=50,1,IF(R45&gt;50,0))))))))))))))))</f>
        <v>2</v>
      </c>
      <c r="AB45">
        <f>IF(S45=1,50,IF(S45=2,25,IF(S45=3,18,IF(S45=4,16,IF(S45=5,14,IF(S45=6,12,IF(S45=7,10,IF(S45=8,9,IF(S45=10,7,IF(S45&lt;=15,6,IF(S45&lt;=20,5,IF(S45&lt;=25,4,IF(S45&lt;=30,3,IF(S45&lt;=40,2,IF(S45&lt;=50,1,IF(S45&gt;50,0))))))))))))))))</f>
        <v>2</v>
      </c>
      <c r="AC45">
        <f>IF(T45=1,50,IF(T45=2,25,IF(T45=3,18,IF(T45=4,16,IF(T45=5,14,IF(T45=6,12,IF(T45=7,10,IF(T45=8,9,IF(T45=10,7,IF(T45&lt;=15,6,IF(T45&lt;=20,5,IF(T45&lt;=25,4,IF(T45&lt;=30,3,IF(T45&lt;=40,2,IF(T45&lt;=50,1,IF(T45&gt;50,0))))))))))))))))</f>
        <v>1</v>
      </c>
      <c r="AD45">
        <f>C45*0.5</f>
        <v>131</v>
      </c>
      <c r="AE45">
        <f>D45*3</f>
        <v>285</v>
      </c>
      <c r="AF45">
        <f>E45*8</f>
        <v>40</v>
      </c>
      <c r="AG45">
        <f>-1*(F45/2)</f>
        <v>-32.5</v>
      </c>
      <c r="AH45">
        <f>G45*-1</f>
        <v>-5</v>
      </c>
      <c r="AI45">
        <f>H45*13</f>
        <v>0</v>
      </c>
      <c r="AJ45">
        <f>I45*5</f>
        <v>5</v>
      </c>
      <c r="AK45">
        <f>J45*-1</f>
        <v>0</v>
      </c>
      <c r="AL45">
        <f>SUM(X45:AC45)</f>
        <v>41</v>
      </c>
      <c r="AM45">
        <f>SUM(AD45:AL45)</f>
        <v>464.5</v>
      </c>
      <c r="AN45">
        <f>SUM(C45:G45,J45)</f>
        <v>432</v>
      </c>
      <c r="AO45" s="1">
        <f>AM45/AN45</f>
        <v>1.0752314814814814</v>
      </c>
    </row>
    <row r="46" spans="1:41" x14ac:dyDescent="0.25">
      <c r="A46" t="s">
        <v>30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>AM46-U46</f>
        <v>6</v>
      </c>
      <c r="X46">
        <f>IF(O46=1,50,IF(O46=2,25,IF(O46=3,18,IF(O46=4,16,IF(O46=5,14,IF(O46=6,12,IF(O46=7,10,IF(O46=8,9,IF(O46=10,7,IF(O46&lt;=15,6,IF(O46&lt;=20,5,IF(O46&lt;=25,4,IF(O46&lt;=30,3,IF(O46&lt;=40,2,IF(O46&lt;=50,1,IF(O46&gt;50,0))))))))))))))))</f>
        <v>5</v>
      </c>
      <c r="Y46">
        <f>IF(P46=1,50,IF(P46=2,25,IF(P46=3,18,IF(P46=4,16,IF(P46=5,14,IF(P46=6,12,IF(P46=7,10,IF(P46=8,9,IF(P46=10,7,IF(P46&lt;=15,6,IF(P46&lt;=20,5,IF(P46&lt;=25,4,IF(P46&lt;=30,3,IF(P46&lt;=40,2,IF(P46&lt;=50,1,IF(P46&gt;50,0))))))))))))))))</f>
        <v>5</v>
      </c>
      <c r="Z46">
        <f>IF(Q46=1,50,IF(Q46=2,25,IF(Q46=3,18,IF(Q46=4,16,IF(Q46=5,14,IF(Q46=6,12,IF(Q46=7,10,IF(Q46=8,9,IF(Q46=10,7,IF(Q46&lt;=15,6,IF(Q46&lt;=20,5,IF(Q46&lt;=25,4,IF(Q46&lt;=30,3,IF(Q46&lt;=40,2,IF(Q46&lt;=50,1,IF(Q46&gt;50,0))))))))))))))))</f>
        <v>4</v>
      </c>
      <c r="AA46">
        <f>IF(R46=1,50,IF(R46=2,25,IF(R46=3,18,IF(R46=4,16,IF(R46=5,14,IF(R46=6,12,IF(R46=7,10,IF(R46=8,9,IF(R46=10,7,IF(R46&lt;=15,6,IF(R46&lt;=20,5,IF(R46&lt;=25,4,IF(R46&lt;=30,3,IF(R46&lt;=40,2,IF(R46&lt;=50,1,IF(R46&gt;50,0))))))))))))))))</f>
        <v>2</v>
      </c>
      <c r="AB46">
        <f>IF(S46=1,50,IF(S46=2,25,IF(S46=3,18,IF(S46=4,16,IF(S46=5,14,IF(S46=6,12,IF(S46=7,10,IF(S46=8,9,IF(S46=10,7,IF(S46&lt;=15,6,IF(S46&lt;=20,5,IF(S46&lt;=25,4,IF(S46&lt;=30,3,IF(S46&lt;=40,2,IF(S46&lt;=50,1,IF(S46&gt;50,0))))))))))))))))</f>
        <v>0</v>
      </c>
      <c r="AC46">
        <f>IF(T46=1,50,IF(T46=2,25,IF(T46=3,18,IF(T46=4,16,IF(T46=5,14,IF(T46=6,12,IF(T46=7,10,IF(T46=8,9,IF(T46=10,7,IF(T46&lt;=15,6,IF(T46&lt;=20,5,IF(T46&lt;=25,4,IF(T46&lt;=30,3,IF(T46&lt;=40,2,IF(T46&lt;=50,1,IF(T46&gt;50,0))))))))))))))))</f>
        <v>0</v>
      </c>
      <c r="AD46">
        <f>C46*0.5</f>
        <v>107</v>
      </c>
      <c r="AE46">
        <f>D46*3</f>
        <v>234</v>
      </c>
      <c r="AF46">
        <f>E46*8</f>
        <v>32</v>
      </c>
      <c r="AG46">
        <f>-1*(F46/2)</f>
        <v>-29.5</v>
      </c>
      <c r="AH46">
        <f>G46*-1</f>
        <v>-2</v>
      </c>
      <c r="AI46">
        <f>H46*13</f>
        <v>0</v>
      </c>
      <c r="AJ46">
        <f>I46*5</f>
        <v>0</v>
      </c>
      <c r="AK46">
        <f>J46*-1</f>
        <v>-3</v>
      </c>
      <c r="AL46">
        <f>SUM(X46:AC46)</f>
        <v>16</v>
      </c>
      <c r="AM46">
        <f>SUM(AD46:AL46)</f>
        <v>354.5</v>
      </c>
      <c r="AN46">
        <f>SUM(C46:G46,J46)</f>
        <v>360</v>
      </c>
      <c r="AO46" s="1">
        <f>AM46/AN46</f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>AM47-U47</f>
        <v>19.5</v>
      </c>
      <c r="X47">
        <f>IF(O47=1,50,IF(O47=2,25,IF(O47=3,18,IF(O47=4,16,IF(O47=5,14,IF(O47=6,12,IF(O47=7,10,IF(O47=8,9,IF(O47=10,7,IF(O47&lt;=15,6,IF(O47&lt;=20,5,IF(O47&lt;=25,4,IF(O47&lt;=30,3,IF(O47&lt;=40,2,IF(O47&lt;=50,1,IF(O47&gt;50,0))))))))))))))))</f>
        <v>9</v>
      </c>
      <c r="Y47">
        <f>IF(P47=1,50,IF(P47=2,25,IF(P47=3,18,IF(P47=4,16,IF(P47=5,14,IF(P47=6,12,IF(P47=7,10,IF(P47=8,9,IF(P47=10,7,IF(P47&lt;=15,6,IF(P47&lt;=20,5,IF(P47&lt;=25,4,IF(P47&lt;=30,3,IF(P47&lt;=40,2,IF(P47&lt;=50,1,IF(P47&gt;50,0))))))))))))))))</f>
        <v>7</v>
      </c>
      <c r="Z47">
        <f>IF(Q47=1,50,IF(Q47=2,25,IF(Q47=3,18,IF(Q47=4,16,IF(Q47=5,14,IF(Q47=6,12,IF(Q47=7,10,IF(Q47=8,9,IF(Q47=10,7,IF(Q47&lt;=15,6,IF(Q47&lt;=20,5,IF(Q47&lt;=25,4,IF(Q47&lt;=30,3,IF(Q47&lt;=40,2,IF(Q47&lt;=50,1,IF(Q47&gt;50,0))))))))))))))))</f>
        <v>5</v>
      </c>
      <c r="AA47">
        <f>IF(R47=1,50,IF(R47=2,25,IF(R47=3,18,IF(R47=4,16,IF(R47=5,14,IF(R47=6,12,IF(R47=7,10,IF(R47=8,9,IF(R47=10,7,IF(R47&lt;=15,6,IF(R47&lt;=20,5,IF(R47&lt;=25,4,IF(R47&lt;=30,3,IF(R47&lt;=40,2,IF(R47&lt;=50,1,IF(R47&gt;50,0))))))))))))))))</f>
        <v>5</v>
      </c>
      <c r="AB47">
        <f>IF(S47=1,50,IF(S47=2,25,IF(S47=3,18,IF(S47=4,16,IF(S47=5,14,IF(S47=6,12,IF(S47=7,10,IF(S47=8,9,IF(S47=10,7,IF(S47&lt;=15,6,IF(S47&lt;=20,5,IF(S47&lt;=25,4,IF(S47&lt;=30,3,IF(S47&lt;=40,2,IF(S47&lt;=50,1,IF(S47&gt;50,0))))))))))))))))</f>
        <v>0</v>
      </c>
      <c r="AC47">
        <f>IF(T47=1,50,IF(T47=2,25,IF(T47=3,18,IF(T47=4,16,IF(T47=5,14,IF(T47=6,12,IF(T47=7,10,IF(T47=8,9,IF(T47=10,7,IF(T47&lt;=15,6,IF(T47&lt;=20,5,IF(T47&lt;=25,4,IF(T47&lt;=30,3,IF(T47&lt;=40,2,IF(T47&lt;=50,1,IF(T47&gt;50,0))))))))))))))))</f>
        <v>0</v>
      </c>
      <c r="AD47">
        <f>C47*0.5</f>
        <v>108</v>
      </c>
      <c r="AE47">
        <f>D47*3</f>
        <v>249</v>
      </c>
      <c r="AF47">
        <f>E47*8</f>
        <v>16</v>
      </c>
      <c r="AG47">
        <f>-1*(F47/2)</f>
        <v>-28</v>
      </c>
      <c r="AH47">
        <f>G47*-1</f>
        <v>-3</v>
      </c>
      <c r="AI47">
        <f>H47*13</f>
        <v>0</v>
      </c>
      <c r="AJ47">
        <f>I47*5</f>
        <v>0</v>
      </c>
      <c r="AK47">
        <f>J47*-1</f>
        <v>0</v>
      </c>
      <c r="AL47">
        <f>SUM(X47:AC47)</f>
        <v>26</v>
      </c>
      <c r="AM47">
        <f>SUM(AD47:AL47)</f>
        <v>368</v>
      </c>
      <c r="AN47">
        <f>SUM(C47:G47,J47)</f>
        <v>360</v>
      </c>
      <c r="AO47" s="1">
        <f>AM47/AN47</f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>AM48-U48</f>
        <v>-6</v>
      </c>
      <c r="X48">
        <f>IF(O48=1,50,IF(O48=2,25,IF(O48=3,18,IF(O48=4,16,IF(O48=5,14,IF(O48=6,12,IF(O48=7,10,IF(O48=8,9,IF(O48=10,7,IF(O48&lt;=15,6,IF(O48&lt;=20,5,IF(O48&lt;=25,4,IF(O48&lt;=30,3,IF(O48&lt;=40,2,IF(O48&lt;=50,1,IF(O48&gt;50,0))))))))))))))))</f>
        <v>7</v>
      </c>
      <c r="Y48">
        <f>IF(P48=1,50,IF(P48=2,25,IF(P48=3,18,IF(P48=4,16,IF(P48=5,14,IF(P48=6,12,IF(P48=7,10,IF(P48=8,9,IF(P48=10,7,IF(P48&lt;=15,6,IF(P48&lt;=20,5,IF(P48&lt;=25,4,IF(P48&lt;=30,3,IF(P48&lt;=40,2,IF(P48&lt;=50,1,IF(P48&gt;50,0))))))))))))))))</f>
        <v>5</v>
      </c>
      <c r="Z48">
        <f>IF(Q48=1,50,IF(Q48=2,25,IF(Q48=3,18,IF(Q48=4,16,IF(Q48=5,14,IF(Q48=6,12,IF(Q48=7,10,IF(Q48=8,9,IF(Q48=10,7,IF(Q48&lt;=15,6,IF(Q48&lt;=20,5,IF(Q48&lt;=25,4,IF(Q48&lt;=30,3,IF(Q48&lt;=40,2,IF(Q48&lt;=50,1,IF(Q48&gt;50,0))))))))))))))))</f>
        <v>4</v>
      </c>
      <c r="AA48">
        <f>IF(R48=1,50,IF(R48=2,25,IF(R48=3,18,IF(R48=4,16,IF(R48=5,14,IF(R48=6,12,IF(R48=7,10,IF(R48=8,9,IF(R48=10,7,IF(R48&lt;=15,6,IF(R48&lt;=20,5,IF(R48&lt;=25,4,IF(R48&lt;=30,3,IF(R48&lt;=40,2,IF(R48&lt;=50,1,IF(R48&gt;50,0))))))))))))))))</f>
        <v>2</v>
      </c>
      <c r="AB48">
        <f>IF(S48=1,50,IF(S48=2,25,IF(S48=3,18,IF(S48=4,16,IF(S48=5,14,IF(S48=6,12,IF(S48=7,10,IF(S48=8,9,IF(S48=10,7,IF(S48&lt;=15,6,IF(S48&lt;=20,5,IF(S48&lt;=25,4,IF(S48&lt;=30,3,IF(S48&lt;=40,2,IF(S48&lt;=50,1,IF(S48&gt;50,0))))))))))))))))</f>
        <v>0</v>
      </c>
      <c r="AC48">
        <f>IF(T48=1,50,IF(T48=2,25,IF(T48=3,18,IF(T48=4,16,IF(T48=5,14,IF(T48=6,12,IF(T48=7,10,IF(T48=8,9,IF(T48=10,7,IF(T48&lt;=15,6,IF(T48&lt;=20,5,IF(T48&lt;=25,4,IF(T48&lt;=30,3,IF(T48&lt;=40,2,IF(T48&lt;=50,1,IF(T48&gt;50,0))))))))))))))))</f>
        <v>0</v>
      </c>
      <c r="AD48">
        <f>C48*0.5</f>
        <v>109</v>
      </c>
      <c r="AE48">
        <f>D48*3</f>
        <v>225</v>
      </c>
      <c r="AF48">
        <f>E48*8</f>
        <v>24</v>
      </c>
      <c r="AG48">
        <f>-1*(F48/2)</f>
        <v>-30.5</v>
      </c>
      <c r="AH48">
        <f>G48*-1</f>
        <v>-3</v>
      </c>
      <c r="AI48">
        <f>H48*13</f>
        <v>0</v>
      </c>
      <c r="AJ48">
        <f>I48*5</f>
        <v>0</v>
      </c>
      <c r="AK48">
        <f>J48*-1</f>
        <v>0</v>
      </c>
      <c r="AL48">
        <f>SUM(X48:AC48)</f>
        <v>18</v>
      </c>
      <c r="AM48">
        <f>SUM(AD48:AL48)</f>
        <v>342.5</v>
      </c>
      <c r="AN48">
        <f>SUM(C48:G48,J48)</f>
        <v>360</v>
      </c>
      <c r="AO48" s="1">
        <f>AM48/AN48</f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30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>AM49-U49</f>
        <v>154</v>
      </c>
      <c r="X49">
        <f>IF(O49=1,50,IF(O49=2,25,IF(O49=3,18,IF(O49=4,16,IF(O49=5,14,IF(O49=6,12,IF(O49=7,10,IF(O49=8,9,IF(O49=10,7,IF(O49&lt;=15,6,IF(O49&lt;=20,5,IF(O49&lt;=25,4,IF(O49&lt;=30,3,IF(O49&lt;=40,2,IF(O49&lt;=50,1,IF(O49&gt;50,0))))))))))))))))</f>
        <v>50</v>
      </c>
      <c r="Y49">
        <f>IF(P49=1,50,IF(P49=2,25,IF(P49=3,18,IF(P49=4,16,IF(P49=5,14,IF(P49=6,12,IF(P49=7,10,IF(P49=8,9,IF(P49=10,7,IF(P49&lt;=15,6,IF(P49&lt;=20,5,IF(P49&lt;=25,4,IF(P49&lt;=30,3,IF(P49&lt;=40,2,IF(P49&lt;=50,1,IF(P49&gt;50,0))))))))))))))))</f>
        <v>16</v>
      </c>
      <c r="Z49">
        <f>IF(Q49=1,50,IF(Q49=2,25,IF(Q49=3,18,IF(Q49=4,16,IF(Q49=5,14,IF(Q49=6,12,IF(Q49=7,10,IF(Q49=8,9,IF(Q49=10,7,IF(Q49&lt;=15,6,IF(Q49&lt;=20,5,IF(Q49&lt;=25,4,IF(Q49&lt;=30,3,IF(Q49&lt;=40,2,IF(Q49&lt;=50,1,IF(Q49&gt;50,0))))))))))))))))</f>
        <v>7</v>
      </c>
      <c r="AA49">
        <f>IF(R49=1,50,IF(R49=2,25,IF(R49=3,18,IF(R49=4,16,IF(R49=5,14,IF(R49=6,12,IF(R49=7,10,IF(R49=8,9,IF(R49=10,7,IF(R49&lt;=15,6,IF(R49&lt;=20,5,IF(R49&lt;=25,4,IF(R49&lt;=30,3,IF(R49&lt;=40,2,IF(R49&lt;=50,1,IF(R49&gt;50,0))))))))))))))))</f>
        <v>4</v>
      </c>
      <c r="AB49">
        <f>IF(S49=1,50,IF(S49=2,25,IF(S49=3,18,IF(S49=4,16,IF(S49=5,14,IF(S49=6,12,IF(S49=7,10,IF(S49=8,9,IF(S49=10,7,IF(S49&lt;=15,6,IF(S49&lt;=20,5,IF(S49&lt;=25,4,IF(S49&lt;=30,3,IF(S49&lt;=40,2,IF(S49&lt;=50,1,IF(S49&gt;50,0))))))))))))))))</f>
        <v>2</v>
      </c>
      <c r="AC49">
        <f>IF(T49=1,50,IF(T49=2,25,IF(T49=3,18,IF(T49=4,16,IF(T49=5,14,IF(T49=6,12,IF(T49=7,10,IF(T49=8,9,IF(T49=10,7,IF(T49&lt;=15,6,IF(T49&lt;=20,5,IF(T49&lt;=25,4,IF(T49&lt;=30,3,IF(T49&lt;=40,2,IF(T49&lt;=50,1,IF(T49&gt;50,0))))))))))))))))</f>
        <v>1</v>
      </c>
      <c r="AD49">
        <f>C49*0.5</f>
        <v>134</v>
      </c>
      <c r="AE49">
        <f>D49*3</f>
        <v>297</v>
      </c>
      <c r="AF49">
        <f>E49*8</f>
        <v>24</v>
      </c>
      <c r="AG49">
        <f>-1*(F49/2)</f>
        <v>-29.5</v>
      </c>
      <c r="AH49">
        <f>G49*-1</f>
        <v>-3</v>
      </c>
      <c r="AI49">
        <f>H49*13</f>
        <v>0</v>
      </c>
      <c r="AJ49">
        <f>I49*5</f>
        <v>0</v>
      </c>
      <c r="AK49">
        <f>J49*-1</f>
        <v>0</v>
      </c>
      <c r="AL49">
        <f>SUM(X49:AC49)</f>
        <v>80</v>
      </c>
      <c r="AM49">
        <f>SUM(AD49:AL49)</f>
        <v>502.5</v>
      </c>
      <c r="AN49">
        <f>SUM(C49:G49,J49)</f>
        <v>432</v>
      </c>
      <c r="AO49" s="1">
        <f>AM49/AN49</f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>AM50-U50</f>
        <v>-59.5</v>
      </c>
      <c r="X50">
        <f>IF(O50=1,50,IF(O50=2,25,IF(O50=3,18,IF(O50=4,16,IF(O50=5,14,IF(O50=6,12,IF(O50=7,10,IF(O50=8,9,IF(O50=10,7,IF(O50&lt;=15,6,IF(O50&lt;=20,5,IF(O50&lt;=25,4,IF(O50&lt;=30,3,IF(O50&lt;=40,2,IF(O50&lt;=50,1,IF(O50&gt;50,0))))))))))))))))</f>
        <v>12</v>
      </c>
      <c r="Y50">
        <f>IF(P50=1,50,IF(P50=2,25,IF(P50=3,18,IF(P50=4,16,IF(P50=5,14,IF(P50=6,12,IF(P50=7,10,IF(P50=8,9,IF(P50=10,7,IF(P50&lt;=15,6,IF(P50&lt;=20,5,IF(P50&lt;=25,4,IF(P50&lt;=30,3,IF(P50&lt;=40,2,IF(P50&lt;=50,1,IF(P50&gt;50,0))))))))))))))))</f>
        <v>5</v>
      </c>
      <c r="Z50">
        <f>IF(Q50=1,50,IF(Q50=2,25,IF(Q50=3,18,IF(Q50=4,16,IF(Q50=5,14,IF(Q50=6,12,IF(Q50=7,10,IF(Q50=8,9,IF(Q50=10,7,IF(Q50&lt;=15,6,IF(Q50&lt;=20,5,IF(Q50&lt;=25,4,IF(Q50&lt;=30,3,IF(Q50&lt;=40,2,IF(Q50&lt;=50,1,IF(Q50&gt;50,0))))))))))))))))</f>
        <v>0</v>
      </c>
      <c r="AA50">
        <f>IF(R50=1,50,IF(R50=2,25,IF(R50=3,18,IF(R50=4,16,IF(R50=5,14,IF(R50=6,12,IF(R50=7,10,IF(R50=8,9,IF(R50=10,7,IF(R50&lt;=15,6,IF(R50&lt;=20,5,IF(R50&lt;=25,4,IF(R50&lt;=30,3,IF(R50&lt;=40,2,IF(R50&lt;=50,1,IF(R50&gt;50,0))))))))))))))))</f>
        <v>0</v>
      </c>
      <c r="AB50">
        <f>IF(S50=1,50,IF(S50=2,25,IF(S50=3,18,IF(S50=4,16,IF(S50=5,14,IF(S50=6,12,IF(S50=7,10,IF(S50=8,9,IF(S50=10,7,IF(S50&lt;=15,6,IF(S50&lt;=20,5,IF(S50&lt;=25,4,IF(S50&lt;=30,3,IF(S50&lt;=40,2,IF(S50&lt;=50,1,IF(S50&gt;50,0))))))))))))))))</f>
        <v>0</v>
      </c>
      <c r="AC50">
        <f>IF(T50=1,50,IF(T50=2,25,IF(T50=3,18,IF(T50=4,16,IF(T50=5,14,IF(T50=6,12,IF(T50=7,10,IF(T50=8,9,IF(T50=10,7,IF(T50&lt;=15,6,IF(T50&lt;=20,5,IF(T50&lt;=25,4,IF(T50&lt;=30,3,IF(T50&lt;=40,2,IF(T50&lt;=50,1,IF(T50&gt;50,0))))))))))))))))</f>
        <v>0</v>
      </c>
      <c r="AD50">
        <f>C50*0.5</f>
        <v>103</v>
      </c>
      <c r="AE50">
        <f>D50*3</f>
        <v>204</v>
      </c>
      <c r="AF50">
        <f>E50*8</f>
        <v>8</v>
      </c>
      <c r="AG50">
        <f>-1*(F50/2)</f>
        <v>-23.5</v>
      </c>
      <c r="AH50">
        <f>G50*-1</f>
        <v>-2</v>
      </c>
      <c r="AI50">
        <f>H50*13</f>
        <v>0</v>
      </c>
      <c r="AJ50">
        <f>I50*5</f>
        <v>0</v>
      </c>
      <c r="AK50">
        <f>J50*-1</f>
        <v>0</v>
      </c>
      <c r="AL50">
        <f>SUM(X50:AC50)</f>
        <v>17</v>
      </c>
      <c r="AM50">
        <f>SUM(AD50:AL50)</f>
        <v>306.5</v>
      </c>
      <c r="AN50">
        <f>SUM(C50:G50,J50)</f>
        <v>324</v>
      </c>
      <c r="AO50" s="1">
        <f>AM50/AN50</f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>AM51-U51</f>
        <v>-60.5</v>
      </c>
      <c r="X51">
        <f>IF(O51=1,50,IF(O51=2,25,IF(O51=3,18,IF(O51=4,16,IF(O51=5,14,IF(O51=6,12,IF(O51=7,10,IF(O51=8,9,IF(O51=10,7,IF(O51&lt;=15,6,IF(O51&lt;=20,5,IF(O51&lt;=25,4,IF(O51&lt;=30,3,IF(O51&lt;=40,2,IF(O51&lt;=50,1,IF(O51&gt;50,0))))))))))))))))</f>
        <v>9</v>
      </c>
      <c r="Y51">
        <f>IF(P51=1,50,IF(P51=2,25,IF(P51=3,18,IF(P51=4,16,IF(P51=5,14,IF(P51=6,12,IF(P51=7,10,IF(P51=8,9,IF(P51=10,7,IF(P51&lt;=15,6,IF(P51&lt;=20,5,IF(P51&lt;=25,4,IF(P51&lt;=30,3,IF(P51&lt;=40,2,IF(P51&lt;=50,1,IF(P51&gt;50,0))))))))))))))))</f>
        <v>6</v>
      </c>
      <c r="Z51">
        <f>IF(Q51=1,50,IF(Q51=2,25,IF(Q51=3,18,IF(Q51=4,16,IF(Q51=5,14,IF(Q51=6,12,IF(Q51=7,10,IF(Q51=8,9,IF(Q51=10,7,IF(Q51&lt;=15,6,IF(Q51&lt;=20,5,IF(Q51&lt;=25,4,IF(Q51&lt;=30,3,IF(Q51&lt;=40,2,IF(Q51&lt;=50,1,IF(Q51&gt;50,0))))))))))))))))</f>
        <v>1</v>
      </c>
      <c r="AA51">
        <f>IF(R51=1,50,IF(R51=2,25,IF(R51=3,18,IF(R51=4,16,IF(R51=5,14,IF(R51=6,12,IF(R51=7,10,IF(R51=8,9,IF(R51=10,7,IF(R51&lt;=15,6,IF(R51&lt;=20,5,IF(R51&lt;=25,4,IF(R51&lt;=30,3,IF(R51&lt;=40,2,IF(R51&lt;=50,1,IF(R51&gt;50,0))))))))))))))))</f>
        <v>0</v>
      </c>
      <c r="AB51">
        <f>IF(S51=1,50,IF(S51=2,25,IF(S51=3,18,IF(S51=4,16,IF(S51=5,14,IF(S51=6,12,IF(S51=7,10,IF(S51=8,9,IF(S51=10,7,IF(S51&lt;=15,6,IF(S51&lt;=20,5,IF(S51&lt;=25,4,IF(S51&lt;=30,3,IF(S51&lt;=40,2,IF(S51&lt;=50,1,IF(S51&gt;50,0))))))))))))))))</f>
        <v>0</v>
      </c>
      <c r="AC51">
        <f>IF(T51=1,50,IF(T51=2,25,IF(T51=3,18,IF(T51=4,16,IF(T51=5,14,IF(T51=6,12,IF(T51=7,10,IF(T51=8,9,IF(T51=10,7,IF(T51&lt;=15,6,IF(T51&lt;=20,5,IF(T51&lt;=25,4,IF(T51&lt;=30,3,IF(T51&lt;=40,2,IF(T51&lt;=50,1,IF(T51&gt;50,0))))))))))))))))</f>
        <v>0</v>
      </c>
      <c r="AD51">
        <f>C51*0.5</f>
        <v>85.5</v>
      </c>
      <c r="AE51">
        <f>D51*3</f>
        <v>198</v>
      </c>
      <c r="AF51">
        <f>E51*8</f>
        <v>32</v>
      </c>
      <c r="AG51">
        <f>-1*(F51/2)</f>
        <v>-21</v>
      </c>
      <c r="AH51">
        <f>G51*-1</f>
        <v>-4</v>
      </c>
      <c r="AI51">
        <f>H51*13</f>
        <v>0</v>
      </c>
      <c r="AJ51">
        <f>I51*5</f>
        <v>0</v>
      </c>
      <c r="AK51">
        <f>J51*-1</f>
        <v>-1</v>
      </c>
      <c r="AL51">
        <f>SUM(X51:AC51)</f>
        <v>16</v>
      </c>
      <c r="AM51">
        <f>SUM(AD51:AL51)</f>
        <v>305.5</v>
      </c>
      <c r="AN51">
        <f>SUM(C51:G51,J51)</f>
        <v>288</v>
      </c>
      <c r="AO51" s="1">
        <f>AM51/AN51</f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30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>AM52-U52</f>
        <v>-120</v>
      </c>
      <c r="X52">
        <f>IF(O52=1,50,IF(O52=2,25,IF(O52=3,18,IF(O52=4,16,IF(O52=5,14,IF(O52=6,12,IF(O52=7,10,IF(O52=8,9,IF(O52=10,7,IF(O52&lt;=15,6,IF(O52&lt;=20,5,IF(O52&lt;=25,4,IF(O52&lt;=30,3,IF(O52&lt;=40,2,IF(O52&lt;=50,1,IF(O52&gt;50,0))))))))))))))))</f>
        <v>18</v>
      </c>
      <c r="Y52">
        <f>IF(P52=1,50,IF(P52=2,25,IF(P52=3,18,IF(P52=4,16,IF(P52=5,14,IF(P52=6,12,IF(P52=7,10,IF(P52=8,9,IF(P52=10,7,IF(P52&lt;=15,6,IF(P52&lt;=20,5,IF(P52&lt;=25,4,IF(P52&lt;=30,3,IF(P52&lt;=40,2,IF(P52&lt;=50,1,IF(P52&gt;50,0))))))))))))))))</f>
        <v>0</v>
      </c>
      <c r="Z52">
        <f>IF(Q52=1,50,IF(Q52=2,25,IF(Q52=3,18,IF(Q52=4,16,IF(Q52=5,14,IF(Q52=6,12,IF(Q52=7,10,IF(Q52=8,9,IF(Q52=10,7,IF(Q52&lt;=15,6,IF(Q52&lt;=20,5,IF(Q52&lt;=25,4,IF(Q52&lt;=30,3,IF(Q52&lt;=40,2,IF(Q52&lt;=50,1,IF(Q52&gt;50,0))))))))))))))))</f>
        <v>0</v>
      </c>
      <c r="AA52">
        <f>IF(R52=1,50,IF(R52=2,25,IF(R52=3,18,IF(R52=4,16,IF(R52=5,14,IF(R52=6,12,IF(R52=7,10,IF(R52=8,9,IF(R52=10,7,IF(R52&lt;=15,6,IF(R52&lt;=20,5,IF(R52&lt;=25,4,IF(R52&lt;=30,3,IF(R52&lt;=40,2,IF(R52&lt;=50,1,IF(R52&gt;50,0))))))))))))))))</f>
        <v>0</v>
      </c>
      <c r="AB52">
        <f>IF(S52=1,50,IF(S52=2,25,IF(S52=3,18,IF(S52=4,16,IF(S52=5,14,IF(S52=6,12,IF(S52=7,10,IF(S52=8,9,IF(S52=10,7,IF(S52&lt;=15,6,IF(S52&lt;=20,5,IF(S52&lt;=25,4,IF(S52&lt;=30,3,IF(S52&lt;=40,2,IF(S52&lt;=50,1,IF(S52&gt;50,0))))))))))))))))</f>
        <v>0</v>
      </c>
      <c r="AC52">
        <f>IF(T52=1,50,IF(T52=2,25,IF(T52=3,18,IF(T52=4,16,IF(T52=5,14,IF(T52=6,12,IF(T52=7,10,IF(T52=8,9,IF(T52=10,7,IF(T52&lt;=15,6,IF(T52&lt;=20,5,IF(T52&lt;=25,4,IF(T52&lt;=30,3,IF(T52&lt;=40,2,IF(T52&lt;=50,1,IF(T52&gt;50,0))))))))))))))))</f>
        <v>0</v>
      </c>
      <c r="AD52">
        <f>C52*0.5</f>
        <v>77.5</v>
      </c>
      <c r="AE52">
        <f>D52*3</f>
        <v>174</v>
      </c>
      <c r="AF52">
        <f>E52*8</f>
        <v>0</v>
      </c>
      <c r="AG52">
        <f>-1*(F52/2)</f>
        <v>-15.5</v>
      </c>
      <c r="AH52">
        <f>G52*-1</f>
        <v>-6</v>
      </c>
      <c r="AI52">
        <f>H52*13</f>
        <v>0</v>
      </c>
      <c r="AJ52">
        <f>I52*5</f>
        <v>0</v>
      </c>
      <c r="AK52">
        <f>J52*-1</f>
        <v>-2</v>
      </c>
      <c r="AL52">
        <f>SUM(X52:AC52)</f>
        <v>18</v>
      </c>
      <c r="AM52">
        <f>SUM(AD52:AL52)</f>
        <v>246</v>
      </c>
      <c r="AN52">
        <f>SUM(C52:G52,J52)</f>
        <v>252</v>
      </c>
      <c r="AO52" s="1">
        <f>AM52/AN52</f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>AM53-U53</f>
        <v>49</v>
      </c>
      <c r="X53">
        <f>IF(O53=1,50,IF(O53=2,25,IF(O53=3,18,IF(O53=4,16,IF(O53=5,14,IF(O53=6,12,IF(O53=7,10,IF(O53=8,9,IF(O53=10,7,IF(O53&lt;=15,6,IF(O53&lt;=20,5,IF(O53&lt;=25,4,IF(O53&lt;=30,3,IF(O53&lt;=40,2,IF(O53&lt;=50,1,IF(O53&gt;50,0))))))))))))))))</f>
        <v>9</v>
      </c>
      <c r="Y53">
        <f>IF(P53=1,50,IF(P53=2,25,IF(P53=3,18,IF(P53=4,16,IF(P53=5,14,IF(P53=6,12,IF(P53=7,10,IF(P53=8,9,IF(P53=10,7,IF(P53&lt;=15,6,IF(P53&lt;=20,5,IF(P53&lt;=25,4,IF(P53&lt;=30,3,IF(P53&lt;=40,2,IF(P53&lt;=50,1,IF(P53&gt;50,0))))))))))))))))</f>
        <v>5</v>
      </c>
      <c r="Z53">
        <f>IF(Q53=1,50,IF(Q53=2,25,IF(Q53=3,18,IF(Q53=4,16,IF(Q53=5,14,IF(Q53=6,12,IF(Q53=7,10,IF(Q53=8,9,IF(Q53=10,7,IF(Q53&lt;=15,6,IF(Q53&lt;=20,5,IF(Q53&lt;=25,4,IF(Q53&lt;=30,3,IF(Q53&lt;=40,2,IF(Q53&lt;=50,1,IF(Q53&gt;50,0))))))))))))))))</f>
        <v>4</v>
      </c>
      <c r="AA53">
        <f>IF(R53=1,50,IF(R53=2,25,IF(R53=3,18,IF(R53=4,16,IF(R53=5,14,IF(R53=6,12,IF(R53=7,10,IF(R53=8,9,IF(R53=10,7,IF(R53&lt;=15,6,IF(R53&lt;=20,5,IF(R53&lt;=25,4,IF(R53&lt;=30,3,IF(R53&lt;=40,2,IF(R53&lt;=50,1,IF(R53&gt;50,0))))))))))))))))</f>
        <v>2</v>
      </c>
      <c r="AB53">
        <f>IF(S53=1,50,IF(S53=2,25,IF(S53=3,18,IF(S53=4,16,IF(S53=5,14,IF(S53=6,12,IF(S53=7,10,IF(S53=8,9,IF(S53=10,7,IF(S53&lt;=15,6,IF(S53&lt;=20,5,IF(S53&lt;=25,4,IF(S53&lt;=30,3,IF(S53&lt;=40,2,IF(S53&lt;=50,1,IF(S53&gt;50,0))))))))))))))))</f>
        <v>1</v>
      </c>
      <c r="AC53">
        <f>IF(T53=1,50,IF(T53=2,25,IF(T53=3,18,IF(T53=4,16,IF(T53=5,14,IF(T53=6,12,IF(T53=7,10,IF(T53=8,9,IF(T53=10,7,IF(T53&lt;=15,6,IF(T53&lt;=20,5,IF(T53&lt;=25,4,IF(T53&lt;=30,3,IF(T53&lt;=40,2,IF(T53&lt;=50,1,IF(T53&gt;50,0))))))))))))))))</f>
        <v>0</v>
      </c>
      <c r="AD53">
        <f>C53*0.5</f>
        <v>121.5</v>
      </c>
      <c r="AE53">
        <f>D53*3</f>
        <v>288</v>
      </c>
      <c r="AF53">
        <f>E53*8</f>
        <v>16</v>
      </c>
      <c r="AG53">
        <f>-1*(F53/2)</f>
        <v>-23.5</v>
      </c>
      <c r="AH53">
        <f>G53*-1</f>
        <v>-7</v>
      </c>
      <c r="AI53">
        <f>H53*13</f>
        <v>0</v>
      </c>
      <c r="AJ53">
        <f>I53*5</f>
        <v>0</v>
      </c>
      <c r="AK53">
        <f>J53*-1</f>
        <v>-1</v>
      </c>
      <c r="AL53">
        <f>SUM(X53:AC53)</f>
        <v>21</v>
      </c>
      <c r="AM53">
        <f>SUM(AD53:AL53)</f>
        <v>415</v>
      </c>
      <c r="AN53">
        <f>SUM(C53:G53,J53)</f>
        <v>396</v>
      </c>
      <c r="AO53" s="1">
        <f>AM53/AN53</f>
        <v>1.047979797979798</v>
      </c>
    </row>
    <row r="54" spans="1:41" x14ac:dyDescent="0.25">
      <c r="A54" t="s">
        <v>30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>AM54-U54</f>
        <v>0.5</v>
      </c>
      <c r="X54">
        <f>IF(O54=1,50,IF(O54=2,25,IF(O54=3,18,IF(O54=4,16,IF(O54=5,14,IF(O54=6,12,IF(O54=7,10,IF(O54=8,9,IF(O54=10,7,IF(O54&lt;=15,6,IF(O54&lt;=20,5,IF(O54&lt;=25,4,IF(O54&lt;=30,3,IF(O54&lt;=40,2,IF(O54&lt;=50,1,IF(O54&gt;50,0))))))))))))))))</f>
        <v>6</v>
      </c>
      <c r="Y54">
        <f>IF(P54=1,50,IF(P54=2,25,IF(P54=3,18,IF(P54=4,16,IF(P54=5,14,IF(P54=6,12,IF(P54=7,10,IF(P54=8,9,IF(P54=10,7,IF(P54&lt;=15,6,IF(P54&lt;=20,5,IF(P54&lt;=25,4,IF(P54&lt;=30,3,IF(P54&lt;=40,2,IF(P54&lt;=50,1,IF(P54&gt;50,0))))))))))))))))</f>
        <v>4</v>
      </c>
      <c r="Z54">
        <f>IF(Q54=1,50,IF(Q54=2,25,IF(Q54=3,18,IF(Q54=4,16,IF(Q54=5,14,IF(Q54=6,12,IF(Q54=7,10,IF(Q54=8,9,IF(Q54=10,7,IF(Q54&lt;=15,6,IF(Q54&lt;=20,5,IF(Q54&lt;=25,4,IF(Q54&lt;=30,3,IF(Q54&lt;=40,2,IF(Q54&lt;=50,1,IF(Q54&gt;50,0))))))))))))))))</f>
        <v>4</v>
      </c>
      <c r="AA54">
        <f>IF(R54=1,50,IF(R54=2,25,IF(R54=3,18,IF(R54=4,16,IF(R54=5,14,IF(R54=6,12,IF(R54=7,10,IF(R54=8,9,IF(R54=10,7,IF(R54&lt;=15,6,IF(R54&lt;=20,5,IF(R54&lt;=25,4,IF(R54&lt;=30,3,IF(R54&lt;=40,2,IF(R54&lt;=50,1,IF(R54&gt;50,0))))))))))))))))</f>
        <v>0</v>
      </c>
      <c r="AB54">
        <f>IF(S54=1,50,IF(S54=2,25,IF(S54=3,18,IF(S54=4,16,IF(S54=5,14,IF(S54=6,12,IF(S54=7,10,IF(S54=8,9,IF(S54=10,7,IF(S54&lt;=15,6,IF(S54&lt;=20,5,IF(S54&lt;=25,4,IF(S54&lt;=30,3,IF(S54&lt;=40,2,IF(S54&lt;=50,1,IF(S54&gt;50,0))))))))))))))))</f>
        <v>0</v>
      </c>
      <c r="AC54">
        <f>IF(T54=1,50,IF(T54=2,25,IF(T54=3,18,IF(T54=4,16,IF(T54=5,14,IF(T54=6,12,IF(T54=7,10,IF(T54=8,9,IF(T54=10,7,IF(T54&lt;=15,6,IF(T54&lt;=20,5,IF(T54&lt;=25,4,IF(T54&lt;=30,3,IF(T54&lt;=40,2,IF(T54&lt;=50,1,IF(T54&gt;50,0))))))))))))))))</f>
        <v>0</v>
      </c>
      <c r="AD54">
        <f>C54*0.5</f>
        <v>116</v>
      </c>
      <c r="AE54">
        <f>D54*3</f>
        <v>225</v>
      </c>
      <c r="AF54">
        <f>E54*8</f>
        <v>40</v>
      </c>
      <c r="AG54">
        <f>-1*(F54/2)</f>
        <v>-19.5</v>
      </c>
      <c r="AH54">
        <f>G54*-1</f>
        <v>-9</v>
      </c>
      <c r="AI54">
        <f>H54*13</f>
        <v>0</v>
      </c>
      <c r="AJ54">
        <f>I54*5</f>
        <v>0</v>
      </c>
      <c r="AK54">
        <f>J54*-1</f>
        <v>0</v>
      </c>
      <c r="AL54">
        <f>SUM(X54:AC54)</f>
        <v>14</v>
      </c>
      <c r="AM54">
        <f>SUM(AD54:AL54)</f>
        <v>366.5</v>
      </c>
      <c r="AN54">
        <f>SUM(C54:G54,J54)</f>
        <v>360</v>
      </c>
      <c r="AO54" s="1">
        <f>AM54/AN54</f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>AM55-U55</f>
        <v>-0.5</v>
      </c>
      <c r="X55">
        <f>IF(O55=1,50,IF(O55=2,25,IF(O55=3,18,IF(O55=4,16,IF(O55=5,14,IF(O55=6,12,IF(O55=7,10,IF(O55=8,9,IF(O55=10,7,IF(O55&lt;=15,6,IF(O55&lt;=20,5,IF(O55&lt;=25,4,IF(O55&lt;=30,3,IF(O55&lt;=40,2,IF(O55&lt;=50,1,IF(O55&gt;50,0))))))))))))))))</f>
        <v>18</v>
      </c>
      <c r="Y55">
        <f>IF(P55=1,50,IF(P55=2,25,IF(P55=3,18,IF(P55=4,16,IF(P55=5,14,IF(P55=6,12,IF(P55=7,10,IF(P55=8,9,IF(P55=10,7,IF(P55&lt;=15,6,IF(P55&lt;=20,5,IF(P55&lt;=25,4,IF(P55&lt;=30,3,IF(P55&lt;=40,2,IF(P55&lt;=50,1,IF(P55&gt;50,0))))))))))))))))</f>
        <v>9</v>
      </c>
      <c r="Z55">
        <f>IF(Q55=1,50,IF(Q55=2,25,IF(Q55=3,18,IF(Q55=4,16,IF(Q55=5,14,IF(Q55=6,12,IF(Q55=7,10,IF(Q55=8,9,IF(Q55=10,7,IF(Q55&lt;=15,6,IF(Q55&lt;=20,5,IF(Q55&lt;=25,4,IF(Q55&lt;=30,3,IF(Q55&lt;=40,2,IF(Q55&lt;=50,1,IF(Q55&gt;50,0))))))))))))))))</f>
        <v>4</v>
      </c>
      <c r="AA55">
        <f>IF(R55=1,50,IF(R55=2,25,IF(R55=3,18,IF(R55=4,16,IF(R55=5,14,IF(R55=6,12,IF(R55=7,10,IF(R55=8,9,IF(R55=10,7,IF(R55&lt;=15,6,IF(R55&lt;=20,5,IF(R55&lt;=25,4,IF(R55&lt;=30,3,IF(R55&lt;=40,2,IF(R55&lt;=50,1,IF(R55&gt;50,0))))))))))))))))</f>
        <v>0</v>
      </c>
      <c r="AB55">
        <f>IF(S55=1,50,IF(S55=2,25,IF(S55=3,18,IF(S55=4,16,IF(S55=5,14,IF(S55=6,12,IF(S55=7,10,IF(S55=8,9,IF(S55=10,7,IF(S55&lt;=15,6,IF(S55&lt;=20,5,IF(S55&lt;=25,4,IF(S55&lt;=30,3,IF(S55&lt;=40,2,IF(S55&lt;=50,1,IF(S55&gt;50,0))))))))))))))))</f>
        <v>0</v>
      </c>
      <c r="AC55">
        <f>IF(T55=1,50,IF(T55=2,25,IF(T55=3,18,IF(T55=4,16,IF(T55=5,14,IF(T55=6,12,IF(T55=7,10,IF(T55=8,9,IF(T55=10,7,IF(T55&lt;=15,6,IF(T55&lt;=20,5,IF(T55&lt;=25,4,IF(T55&lt;=30,3,IF(T55&lt;=40,2,IF(T55&lt;=50,1,IF(T55&gt;50,0))))))))))))))))</f>
        <v>0</v>
      </c>
      <c r="AD55">
        <f>C55*0.5</f>
        <v>99</v>
      </c>
      <c r="AE55">
        <f>D55*3</f>
        <v>237</v>
      </c>
      <c r="AF55">
        <f>E55*8</f>
        <v>24</v>
      </c>
      <c r="AG55">
        <f>-1*(F55/2)</f>
        <v>-18.5</v>
      </c>
      <c r="AH55">
        <f>G55*-1</f>
        <v>-7</v>
      </c>
      <c r="AI55">
        <f>H55*13</f>
        <v>0</v>
      </c>
      <c r="AJ55">
        <f>I55*5</f>
        <v>0</v>
      </c>
      <c r="AK55">
        <f>J55*-1</f>
        <v>0</v>
      </c>
      <c r="AL55">
        <f>SUM(X55:AC55)</f>
        <v>31</v>
      </c>
      <c r="AM55">
        <f>SUM(AD55:AL55)</f>
        <v>365.5</v>
      </c>
      <c r="AN55">
        <f>SUM(C55:G55,J55)</f>
        <v>324</v>
      </c>
      <c r="AO55" s="1">
        <f>AM55/AN55</f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>AM56-U56</f>
        <v>1.5</v>
      </c>
      <c r="X56">
        <f>IF(O56=1,50,IF(O56=2,25,IF(O56=3,18,IF(O56=4,16,IF(O56=5,14,IF(O56=6,12,IF(O56=7,10,IF(O56=8,9,IF(O56=10,7,IF(O56&lt;=15,6,IF(O56&lt;=20,5,IF(O56&lt;=25,4,IF(O56&lt;=30,3,IF(O56&lt;=40,2,IF(O56&lt;=50,1,IF(O56&gt;50,0))))))))))))))))</f>
        <v>6</v>
      </c>
      <c r="Y56">
        <f>IF(P56=1,50,IF(P56=2,25,IF(P56=3,18,IF(P56=4,16,IF(P56=5,14,IF(P56=6,12,IF(P56=7,10,IF(P56=8,9,IF(P56=10,7,IF(P56&lt;=15,6,IF(P56&lt;=20,5,IF(P56&lt;=25,4,IF(P56&lt;=30,3,IF(P56&lt;=40,2,IF(P56&lt;=50,1,IF(P56&gt;50,0))))))))))))))))</f>
        <v>4</v>
      </c>
      <c r="Z56">
        <f>IF(Q56=1,50,IF(Q56=2,25,IF(Q56=3,18,IF(Q56=4,16,IF(Q56=5,14,IF(Q56=6,12,IF(Q56=7,10,IF(Q56=8,9,IF(Q56=10,7,IF(Q56&lt;=15,6,IF(Q56&lt;=20,5,IF(Q56&lt;=25,4,IF(Q56&lt;=30,3,IF(Q56&lt;=40,2,IF(Q56&lt;=50,1,IF(Q56&gt;50,0))))))))))))))))</f>
        <v>1</v>
      </c>
      <c r="AA56">
        <f>IF(R56=1,50,IF(R56=2,25,IF(R56=3,18,IF(R56=4,16,IF(R56=5,14,IF(R56=6,12,IF(R56=7,10,IF(R56=8,9,IF(R56=10,7,IF(R56&lt;=15,6,IF(R56&lt;=20,5,IF(R56&lt;=25,4,IF(R56&lt;=30,3,IF(R56&lt;=40,2,IF(R56&lt;=50,1,IF(R56&gt;50,0))))))))))))))))</f>
        <v>0</v>
      </c>
      <c r="AB56">
        <f>IF(S56=1,50,IF(S56=2,25,IF(S56=3,18,IF(S56=4,16,IF(S56=5,14,IF(S56=6,12,IF(S56=7,10,IF(S56=8,9,IF(S56=10,7,IF(S56&lt;=15,6,IF(S56&lt;=20,5,IF(S56&lt;=25,4,IF(S56&lt;=30,3,IF(S56&lt;=40,2,IF(S56&lt;=50,1,IF(S56&gt;50,0))))))))))))))))</f>
        <v>0</v>
      </c>
      <c r="AC56">
        <f>IF(T56=1,50,IF(T56=2,25,IF(T56=3,18,IF(T56=4,16,IF(T56=5,14,IF(T56=6,12,IF(T56=7,10,IF(T56=8,9,IF(T56=10,7,IF(T56&lt;=15,6,IF(T56&lt;=20,5,IF(T56&lt;=25,4,IF(T56&lt;=30,3,IF(T56&lt;=40,2,IF(T56&lt;=50,1,IF(T56&gt;50,0))))))))))))))))</f>
        <v>0</v>
      </c>
      <c r="AD56">
        <f>C56*0.5</f>
        <v>107.5</v>
      </c>
      <c r="AE56">
        <f>D56*3</f>
        <v>264</v>
      </c>
      <c r="AF56">
        <f>E56*8</f>
        <v>16</v>
      </c>
      <c r="AG56">
        <f>-1*(F56/2)</f>
        <v>-24</v>
      </c>
      <c r="AH56">
        <f>G56*-1</f>
        <v>-5</v>
      </c>
      <c r="AI56">
        <f>H56*13</f>
        <v>0</v>
      </c>
      <c r="AJ56">
        <f>I56*5</f>
        <v>0</v>
      </c>
      <c r="AK56">
        <f>J56*-1</f>
        <v>-2</v>
      </c>
      <c r="AL56">
        <f>SUM(X56:AC56)</f>
        <v>11</v>
      </c>
      <c r="AM56">
        <f>SUM(AD56:AL56)</f>
        <v>367.5</v>
      </c>
      <c r="AN56">
        <f>SUM(C56:G56,J56)</f>
        <v>360</v>
      </c>
      <c r="AO56" s="1">
        <f>AM56/AN56</f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>AM57-U57</f>
        <v>14.5</v>
      </c>
      <c r="X57">
        <f>IF(O57=1,50,IF(O57=2,25,IF(O57=3,18,IF(O57=4,16,IF(O57=5,14,IF(O57=6,12,IF(O57=7,10,IF(O57=8,9,IF(O57=10,7,IF(O57&lt;=15,6,IF(O57&lt;=20,5,IF(O57&lt;=25,4,IF(O57&lt;=30,3,IF(O57&lt;=40,2,IF(O57&lt;=50,1,IF(O57&gt;50,0))))))))))))))))</f>
        <v>50</v>
      </c>
      <c r="Y57">
        <f>IF(P57=1,50,IF(P57=2,25,IF(P57=3,18,IF(P57=4,16,IF(P57=5,14,IF(P57=6,12,IF(P57=7,10,IF(P57=8,9,IF(P57=10,7,IF(P57&lt;=15,6,IF(P57&lt;=20,5,IF(P57&lt;=25,4,IF(P57&lt;=30,3,IF(P57&lt;=40,2,IF(P57&lt;=50,1,IF(P57&gt;50,0))))))))))))))))</f>
        <v>2</v>
      </c>
      <c r="Z57">
        <f>IF(Q57=1,50,IF(Q57=2,25,IF(Q57=3,18,IF(Q57=4,16,IF(Q57=5,14,IF(Q57=6,12,IF(Q57=7,10,IF(Q57=8,9,IF(Q57=10,7,IF(Q57&lt;=15,6,IF(Q57&lt;=20,5,IF(Q57&lt;=25,4,IF(Q57&lt;=30,3,IF(Q57&lt;=40,2,IF(Q57&lt;=50,1,IF(Q57&gt;50,0))))))))))))))))</f>
        <v>2</v>
      </c>
      <c r="AA57">
        <f>IF(R57=1,50,IF(R57=2,25,IF(R57=3,18,IF(R57=4,16,IF(R57=5,14,IF(R57=6,12,IF(R57=7,10,IF(R57=8,9,IF(R57=10,7,IF(R57&lt;=15,6,IF(R57&lt;=20,5,IF(R57&lt;=25,4,IF(R57&lt;=30,3,IF(R57&lt;=40,2,IF(R57&lt;=50,1,IF(R57&gt;50,0))))))))))))))))</f>
        <v>0</v>
      </c>
      <c r="AB57">
        <f>IF(S57=1,50,IF(S57=2,25,IF(S57=3,18,IF(S57=4,16,IF(S57=5,14,IF(S57=6,12,IF(S57=7,10,IF(S57=8,9,IF(S57=10,7,IF(S57&lt;=15,6,IF(S57&lt;=20,5,IF(S57&lt;=25,4,IF(S57&lt;=30,3,IF(S57&lt;=40,2,IF(S57&lt;=50,1,IF(S57&gt;50,0))))))))))))))))</f>
        <v>0</v>
      </c>
      <c r="AC57">
        <f>IF(T57=1,50,IF(T57=2,25,IF(T57=3,18,IF(T57=4,16,IF(T57=5,14,IF(T57=6,12,IF(T57=7,10,IF(T57=8,9,IF(T57=10,7,IF(T57&lt;=15,6,IF(T57&lt;=20,5,IF(T57&lt;=25,4,IF(T57&lt;=30,3,IF(T57&lt;=40,2,IF(T57&lt;=50,1,IF(T57&gt;50,0))))))))))))))))</f>
        <v>0</v>
      </c>
      <c r="AD57">
        <f>C57*0.5</f>
        <v>96.5</v>
      </c>
      <c r="AE57">
        <f>D57*3</f>
        <v>240</v>
      </c>
      <c r="AF57">
        <f>E57*8</f>
        <v>16</v>
      </c>
      <c r="AG57">
        <f>-1*(F57/2)</f>
        <v>-23</v>
      </c>
      <c r="AH57">
        <f>G57*-1</f>
        <v>-3</v>
      </c>
      <c r="AI57">
        <f>H57*13</f>
        <v>0</v>
      </c>
      <c r="AJ57">
        <f>I57*5</f>
        <v>0</v>
      </c>
      <c r="AK57">
        <f>J57*-1</f>
        <v>0</v>
      </c>
      <c r="AL57">
        <f>SUM(X57:AC57)</f>
        <v>54</v>
      </c>
      <c r="AM57">
        <f>SUM(AD57:AL57)</f>
        <v>380.5</v>
      </c>
      <c r="AN57">
        <f>SUM(C57:G57,J57)</f>
        <v>324</v>
      </c>
      <c r="AO57" s="1">
        <f>AM57/AN57</f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>AM58-U58</f>
        <v>-128</v>
      </c>
      <c r="X58">
        <f>IF(O58=1,50,IF(O58=2,25,IF(O58=3,18,IF(O58=4,16,IF(O58=5,14,IF(O58=6,12,IF(O58=7,10,IF(O58=8,9,IF(O58=10,7,IF(O58&lt;=15,6,IF(O58&lt;=20,5,IF(O58&lt;=25,4,IF(O58&lt;=30,3,IF(O58&lt;=40,2,IF(O58&lt;=50,1,IF(O58&gt;50,0))))))))))))))))</f>
        <v>3</v>
      </c>
      <c r="Y58">
        <f>IF(P58=1,50,IF(P58=2,25,IF(P58=3,18,IF(P58=4,16,IF(P58=5,14,IF(P58=6,12,IF(P58=7,10,IF(P58=8,9,IF(P58=10,7,IF(P58&lt;=15,6,IF(P58&lt;=20,5,IF(P58&lt;=25,4,IF(P58&lt;=30,3,IF(P58&lt;=40,2,IF(P58&lt;=50,1,IF(P58&gt;50,0))))))))))))))))</f>
        <v>0</v>
      </c>
      <c r="Z58">
        <f>IF(Q58=1,50,IF(Q58=2,25,IF(Q58=3,18,IF(Q58=4,16,IF(Q58=5,14,IF(Q58=6,12,IF(Q58=7,10,IF(Q58=8,9,IF(Q58=10,7,IF(Q58&lt;=15,6,IF(Q58&lt;=20,5,IF(Q58&lt;=25,4,IF(Q58&lt;=30,3,IF(Q58&lt;=40,2,IF(Q58&lt;=50,1,IF(Q58&gt;50,0))))))))))))))))</f>
        <v>0</v>
      </c>
      <c r="AA58">
        <f>IF(R58=1,50,IF(R58=2,25,IF(R58=3,18,IF(R58=4,16,IF(R58=5,14,IF(R58=6,12,IF(R58=7,10,IF(R58=8,9,IF(R58=10,7,IF(R58&lt;=15,6,IF(R58&lt;=20,5,IF(R58&lt;=25,4,IF(R58&lt;=30,3,IF(R58&lt;=40,2,IF(R58&lt;=50,1,IF(R58&gt;50,0))))))))))))))))</f>
        <v>0</v>
      </c>
      <c r="AB58">
        <f>IF(S58=1,50,IF(S58=2,25,IF(S58=3,18,IF(S58=4,16,IF(S58=5,14,IF(S58=6,12,IF(S58=7,10,IF(S58=8,9,IF(S58=10,7,IF(S58&lt;=15,6,IF(S58&lt;=20,5,IF(S58&lt;=25,4,IF(S58&lt;=30,3,IF(S58&lt;=40,2,IF(S58&lt;=50,1,IF(S58&gt;50,0))))))))))))))))</f>
        <v>0</v>
      </c>
      <c r="AC58">
        <f>IF(T58=1,50,IF(T58=2,25,IF(T58=3,18,IF(T58=4,16,IF(T58=5,14,IF(T58=6,12,IF(T58=7,10,IF(T58=8,9,IF(T58=10,7,IF(T58&lt;=15,6,IF(T58&lt;=20,5,IF(T58&lt;=25,4,IF(T58&lt;=30,3,IF(T58&lt;=40,2,IF(T58&lt;=50,1,IF(T58&gt;50,0))))))))))))))))</f>
        <v>0</v>
      </c>
      <c r="AD58">
        <f>C58*0.5</f>
        <v>91.5</v>
      </c>
      <c r="AE58">
        <f>D58*3</f>
        <v>156</v>
      </c>
      <c r="AF58">
        <f>E58*8</f>
        <v>8</v>
      </c>
      <c r="AG58">
        <f>-1*(F58/2)</f>
        <v>-21.5</v>
      </c>
      <c r="AH58">
        <f>G58*-1</f>
        <v>-6</v>
      </c>
      <c r="AI58">
        <f>H58*13</f>
        <v>0</v>
      </c>
      <c r="AJ58">
        <f>I58*5</f>
        <v>0</v>
      </c>
      <c r="AK58">
        <f>J58*-1</f>
        <v>-3</v>
      </c>
      <c r="AL58">
        <f>SUM(X58:AC58)</f>
        <v>3</v>
      </c>
      <c r="AM58">
        <f>SUM(AD58:AL58)</f>
        <v>228</v>
      </c>
      <c r="AN58">
        <f>SUM(C58:G58,J58)</f>
        <v>288</v>
      </c>
      <c r="AO58" s="1">
        <f>AM58/AN58</f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>AM59-U59</f>
        <v>-1.5</v>
      </c>
      <c r="X59">
        <f>IF(O59=1,50,IF(O59=2,25,IF(O59=3,18,IF(O59=4,16,IF(O59=5,14,IF(O59=6,12,IF(O59=7,10,IF(O59=8,9,IF(O59=10,7,IF(O59&lt;=15,6,IF(O59&lt;=20,5,IF(O59&lt;=25,4,IF(O59&lt;=30,3,IF(O59&lt;=40,2,IF(O59&lt;=50,1,IF(O59&gt;50,0))))))))))))))))</f>
        <v>25</v>
      </c>
      <c r="Y59">
        <f>IF(P59=1,50,IF(P59=2,25,IF(P59=3,18,IF(P59=4,16,IF(P59=5,14,IF(P59=6,12,IF(P59=7,10,IF(P59=8,9,IF(P59=10,7,IF(P59&lt;=15,6,IF(P59&lt;=20,5,IF(P59&lt;=25,4,IF(P59&lt;=30,3,IF(P59&lt;=40,2,IF(P59&lt;=50,1,IF(P59&gt;50,0))))))))))))))))</f>
        <v>16</v>
      </c>
      <c r="Z59">
        <f>IF(Q59=1,50,IF(Q59=2,25,IF(Q59=3,18,IF(Q59=4,16,IF(Q59=5,14,IF(Q59=6,12,IF(Q59=7,10,IF(Q59=8,9,IF(Q59=10,7,IF(Q59&lt;=15,6,IF(Q59&lt;=20,5,IF(Q59&lt;=25,4,IF(Q59&lt;=30,3,IF(Q59&lt;=40,2,IF(Q59&lt;=50,1,IF(Q59&gt;50,0))))))))))))))))</f>
        <v>0</v>
      </c>
      <c r="AA59">
        <f>IF(R59=1,50,IF(R59=2,25,IF(R59=3,18,IF(R59=4,16,IF(R59=5,14,IF(R59=6,12,IF(R59=7,10,IF(R59=8,9,IF(R59=10,7,IF(R59&lt;=15,6,IF(R59&lt;=20,5,IF(R59&lt;=25,4,IF(R59&lt;=30,3,IF(R59&lt;=40,2,IF(R59&lt;=50,1,IF(R59&gt;50,0))))))))))))))))</f>
        <v>0</v>
      </c>
      <c r="AB59">
        <f>IF(S59=1,50,IF(S59=2,25,IF(S59=3,18,IF(S59=4,16,IF(S59=5,14,IF(S59=6,12,IF(S59=7,10,IF(S59=8,9,IF(S59=10,7,IF(S59&lt;=15,6,IF(S59&lt;=20,5,IF(S59&lt;=25,4,IF(S59&lt;=30,3,IF(S59&lt;=40,2,IF(S59&lt;=50,1,IF(S59&gt;50,0))))))))))))))))</f>
        <v>0</v>
      </c>
      <c r="AC59">
        <f>IF(T59=1,50,IF(T59=2,25,IF(T59=3,18,IF(T59=4,16,IF(T59=5,14,IF(T59=6,12,IF(T59=7,10,IF(T59=8,9,IF(T59=10,7,IF(T59&lt;=15,6,IF(T59&lt;=20,5,IF(T59&lt;=25,4,IF(T59&lt;=30,3,IF(T59&lt;=40,2,IF(T59&lt;=50,1,IF(T59&gt;50,0))))))))))))))))</f>
        <v>0</v>
      </c>
      <c r="AD59">
        <f>C59*0.5</f>
        <v>97.5</v>
      </c>
      <c r="AE59">
        <f>D59*3</f>
        <v>228</v>
      </c>
      <c r="AF59">
        <f>E59*8</f>
        <v>16</v>
      </c>
      <c r="AG59">
        <f>-1*(F59/2)</f>
        <v>-23</v>
      </c>
      <c r="AH59">
        <f>G59*-1</f>
        <v>-4</v>
      </c>
      <c r="AI59">
        <f>H59*13</f>
        <v>0</v>
      </c>
      <c r="AJ59">
        <f>I59*5</f>
        <v>0</v>
      </c>
      <c r="AK59">
        <f>J59*-1</f>
        <v>-1</v>
      </c>
      <c r="AL59">
        <f>SUM(X59:AC59)</f>
        <v>41</v>
      </c>
      <c r="AM59">
        <f>SUM(AD59:AL59)</f>
        <v>354.5</v>
      </c>
      <c r="AN59">
        <f>SUM(C59:G59,J59)</f>
        <v>324</v>
      </c>
      <c r="AO59" s="1">
        <f>AM59/AN59</f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>AM60-U60</f>
        <v>-48</v>
      </c>
      <c r="X60">
        <f>IF(O60=1,50,IF(O60=2,25,IF(O60=3,18,IF(O60=4,16,IF(O60=5,14,IF(O60=6,12,IF(O60=7,10,IF(O60=8,9,IF(O60=10,7,IF(O60&lt;=15,6,IF(O60&lt;=20,5,IF(O60&lt;=25,4,IF(O60&lt;=30,3,IF(O60&lt;=40,2,IF(O60&lt;=50,1,IF(O60&gt;50,0))))))))))))))))</f>
        <v>3</v>
      </c>
      <c r="Y60">
        <f>IF(P60=1,50,IF(P60=2,25,IF(P60=3,18,IF(P60=4,16,IF(P60=5,14,IF(P60=6,12,IF(P60=7,10,IF(P60=8,9,IF(P60=10,7,IF(P60&lt;=15,6,IF(P60&lt;=20,5,IF(P60&lt;=25,4,IF(P60&lt;=30,3,IF(P60&lt;=40,2,IF(P60&lt;=50,1,IF(P60&gt;50,0))))))))))))))))</f>
        <v>1</v>
      </c>
      <c r="Z60">
        <f>IF(Q60=1,50,IF(Q60=2,25,IF(Q60=3,18,IF(Q60=4,16,IF(Q60=5,14,IF(Q60=6,12,IF(Q60=7,10,IF(Q60=8,9,IF(Q60=10,7,IF(Q60&lt;=15,6,IF(Q60&lt;=20,5,IF(Q60&lt;=25,4,IF(Q60&lt;=30,3,IF(Q60&lt;=40,2,IF(Q60&lt;=50,1,IF(Q60&gt;50,0))))))))))))))))</f>
        <v>0</v>
      </c>
      <c r="AA60">
        <f>IF(R60=1,50,IF(R60=2,25,IF(R60=3,18,IF(R60=4,16,IF(R60=5,14,IF(R60=6,12,IF(R60=7,10,IF(R60=8,9,IF(R60=10,7,IF(R60&lt;=15,6,IF(R60&lt;=20,5,IF(R60&lt;=25,4,IF(R60&lt;=30,3,IF(R60&lt;=40,2,IF(R60&lt;=50,1,IF(R60&gt;50,0))))))))))))))))</f>
        <v>0</v>
      </c>
      <c r="AB60">
        <f>IF(S60=1,50,IF(S60=2,25,IF(S60=3,18,IF(S60=4,16,IF(S60=5,14,IF(S60=6,12,IF(S60=7,10,IF(S60=8,9,IF(S60=10,7,IF(S60&lt;=15,6,IF(S60&lt;=20,5,IF(S60&lt;=25,4,IF(S60&lt;=30,3,IF(S60&lt;=40,2,IF(S60&lt;=50,1,IF(S60&gt;50,0))))))))))))))))</f>
        <v>0</v>
      </c>
      <c r="AC60">
        <f>IF(T60=1,50,IF(T60=2,25,IF(T60=3,18,IF(T60=4,16,IF(T60=5,14,IF(T60=6,12,IF(T60=7,10,IF(T60=8,9,IF(T60=10,7,IF(T60&lt;=15,6,IF(T60&lt;=20,5,IF(T60&lt;=25,4,IF(T60&lt;=30,3,IF(T60&lt;=40,2,IF(T60&lt;=50,1,IF(T60&gt;50,0))))))))))))))))</f>
        <v>0</v>
      </c>
      <c r="AD60">
        <f>C60*0.5</f>
        <v>98</v>
      </c>
      <c r="AE60">
        <f>D60*3</f>
        <v>228</v>
      </c>
      <c r="AF60">
        <f>E60*8</f>
        <v>8</v>
      </c>
      <c r="AG60">
        <f>-1*(F60/2)</f>
        <v>-21</v>
      </c>
      <c r="AH60">
        <f>G60*-1</f>
        <v>-6</v>
      </c>
      <c r="AI60">
        <f>H60*13</f>
        <v>0</v>
      </c>
      <c r="AJ60">
        <f>I60*5</f>
        <v>0</v>
      </c>
      <c r="AK60">
        <f>J60*-1</f>
        <v>-3</v>
      </c>
      <c r="AL60">
        <f>SUM(X60:AC60)</f>
        <v>4</v>
      </c>
      <c r="AM60">
        <f>SUM(AD60:AL60)</f>
        <v>308</v>
      </c>
      <c r="AN60">
        <f>SUM(C60:G60,J60)</f>
        <v>324</v>
      </c>
      <c r="AO60" s="1">
        <f>AM60/AN60</f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>AM61-U61</f>
        <v>-12</v>
      </c>
      <c r="X61">
        <f>IF(O61=1,50,IF(O61=2,25,IF(O61=3,18,IF(O61=4,16,IF(O61=5,14,IF(O61=6,12,IF(O61=7,10,IF(O61=8,9,IF(O61=10,7,IF(O61&lt;=15,6,IF(O61&lt;=20,5,IF(O61&lt;=25,4,IF(O61&lt;=30,3,IF(O61&lt;=40,2,IF(O61&lt;=50,1,IF(O61&gt;50,0))))))))))))))))</f>
        <v>6</v>
      </c>
      <c r="Y61">
        <f>IF(P61=1,50,IF(P61=2,25,IF(P61=3,18,IF(P61=4,16,IF(P61=5,14,IF(P61=6,12,IF(P61=7,10,IF(P61=8,9,IF(P61=10,7,IF(P61&lt;=15,6,IF(P61&lt;=20,5,IF(P61&lt;=25,4,IF(P61&lt;=30,3,IF(P61&lt;=40,2,IF(P61&lt;=50,1,IF(P61&gt;50,0))))))))))))))))</f>
        <v>6</v>
      </c>
      <c r="Z61">
        <f>IF(Q61=1,50,IF(Q61=2,25,IF(Q61=3,18,IF(Q61=4,16,IF(Q61=5,14,IF(Q61=6,12,IF(Q61=7,10,IF(Q61=8,9,IF(Q61=10,7,IF(Q61&lt;=15,6,IF(Q61&lt;=20,5,IF(Q61&lt;=25,4,IF(Q61&lt;=30,3,IF(Q61&lt;=40,2,IF(Q61&lt;=50,1,IF(Q61&gt;50,0))))))))))))))))</f>
        <v>0</v>
      </c>
      <c r="AA61">
        <f>IF(R61=1,50,IF(R61=2,25,IF(R61=3,18,IF(R61=4,16,IF(R61=5,14,IF(R61=6,12,IF(R61=7,10,IF(R61=8,9,IF(R61=10,7,IF(R61&lt;=15,6,IF(R61&lt;=20,5,IF(R61&lt;=25,4,IF(R61&lt;=30,3,IF(R61&lt;=40,2,IF(R61&lt;=50,1,IF(R61&gt;50,0))))))))))))))))</f>
        <v>0</v>
      </c>
      <c r="AB61">
        <f>IF(S61=1,50,IF(S61=2,25,IF(S61=3,18,IF(S61=4,16,IF(S61=5,14,IF(S61=6,12,IF(S61=7,10,IF(S61=8,9,IF(S61=10,7,IF(S61&lt;=15,6,IF(S61&lt;=20,5,IF(S61&lt;=25,4,IF(S61&lt;=30,3,IF(S61&lt;=40,2,IF(S61&lt;=50,1,IF(S61&gt;50,0))))))))))))))))</f>
        <v>0</v>
      </c>
      <c r="AC61">
        <f>IF(T61=1,50,IF(T61=2,25,IF(T61=3,18,IF(T61=4,16,IF(T61=5,14,IF(T61=6,12,IF(T61=7,10,IF(T61=8,9,IF(T61=10,7,IF(T61&lt;=15,6,IF(T61&lt;=20,5,IF(T61&lt;=25,4,IF(T61&lt;=30,3,IF(T61&lt;=40,2,IF(T61&lt;=50,1,IF(T61&gt;50,0))))))))))))))))</f>
        <v>0</v>
      </c>
      <c r="AD61">
        <f>C61*0.5</f>
        <v>98.5</v>
      </c>
      <c r="AE61">
        <f>D61*3</f>
        <v>228</v>
      </c>
      <c r="AF61">
        <f>E61*8</f>
        <v>32</v>
      </c>
      <c r="AG61">
        <f>-1*(F61/2)</f>
        <v>-20.5</v>
      </c>
      <c r="AH61">
        <f>G61*-1</f>
        <v>-6</v>
      </c>
      <c r="AI61">
        <f>H61*13</f>
        <v>0</v>
      </c>
      <c r="AJ61">
        <f>I61*5</f>
        <v>0</v>
      </c>
      <c r="AK61">
        <f>J61*-1</f>
        <v>0</v>
      </c>
      <c r="AL61">
        <f>SUM(X61:AC61)</f>
        <v>12</v>
      </c>
      <c r="AM61">
        <f>SUM(AD61:AL61)</f>
        <v>344</v>
      </c>
      <c r="AN61">
        <f>SUM(C61:G61,J61)</f>
        <v>324</v>
      </c>
      <c r="AO61" s="1">
        <f>AM61/AN61</f>
        <v>1.0617283950617284</v>
      </c>
    </row>
    <row r="62" spans="1:41" x14ac:dyDescent="0.25">
      <c r="A62" t="s">
        <v>30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>AM62-U62</f>
        <v>91.5</v>
      </c>
      <c r="X62">
        <f>IF(O62=1,50,IF(O62=2,25,IF(O62=3,18,IF(O62=4,16,IF(O62=5,14,IF(O62=6,12,IF(O62=7,10,IF(O62=8,9,IF(O62=10,7,IF(O62&lt;=15,6,IF(O62&lt;=20,5,IF(O62&lt;=25,4,IF(O62&lt;=30,3,IF(O62&lt;=40,2,IF(O62&lt;=50,1,IF(O62&gt;50,0))))))))))))))))</f>
        <v>4</v>
      </c>
      <c r="Y62">
        <f>IF(P62=1,50,IF(P62=2,25,IF(P62=3,18,IF(P62=4,16,IF(P62=5,14,IF(P62=6,12,IF(P62=7,10,IF(P62=8,9,IF(P62=10,7,IF(P62&lt;=15,6,IF(P62&lt;=20,5,IF(P62&lt;=25,4,IF(P62&lt;=30,3,IF(P62&lt;=40,2,IF(P62&lt;=50,1,IF(P62&gt;50,0))))))))))))))))</f>
        <v>4</v>
      </c>
      <c r="Z62">
        <f>IF(Q62=1,50,IF(Q62=2,25,IF(Q62=3,18,IF(Q62=4,16,IF(Q62=5,14,IF(Q62=6,12,IF(Q62=7,10,IF(Q62=8,9,IF(Q62=10,7,IF(Q62&lt;=15,6,IF(Q62&lt;=20,5,IF(Q62&lt;=25,4,IF(Q62&lt;=30,3,IF(Q62&lt;=40,2,IF(Q62&lt;=50,1,IF(Q62&gt;50,0))))))))))))))))</f>
        <v>2</v>
      </c>
      <c r="AA62">
        <f>IF(R62=1,50,IF(R62=2,25,IF(R62=3,18,IF(R62=4,16,IF(R62=5,14,IF(R62=6,12,IF(R62=7,10,IF(R62=8,9,IF(R62=10,7,IF(R62&lt;=15,6,IF(R62&lt;=20,5,IF(R62&lt;=25,4,IF(R62&lt;=30,3,IF(R62&lt;=40,2,IF(R62&lt;=50,1,IF(R62&gt;50,0))))))))))))))))</f>
        <v>1</v>
      </c>
      <c r="AB62">
        <f>IF(S62=1,50,IF(S62=2,25,IF(S62=3,18,IF(S62=4,16,IF(S62=5,14,IF(S62=6,12,IF(S62=7,10,IF(S62=8,9,IF(S62=10,7,IF(S62&lt;=15,6,IF(S62&lt;=20,5,IF(S62&lt;=25,4,IF(S62&lt;=30,3,IF(S62&lt;=40,2,IF(S62&lt;=50,1,IF(S62&gt;50,0))))))))))))))))</f>
        <v>1</v>
      </c>
      <c r="AC62">
        <f>IF(T62=1,50,IF(T62=2,25,IF(T62=3,18,IF(T62=4,16,IF(T62=5,14,IF(T62=6,12,IF(T62=7,10,IF(T62=8,9,IF(T62=10,7,IF(T62&lt;=15,6,IF(T62&lt;=20,5,IF(T62&lt;=25,4,IF(T62&lt;=30,3,IF(T62&lt;=40,2,IF(T62&lt;=50,1,IF(T62&gt;50,0))))))))))))))))</f>
        <v>0</v>
      </c>
      <c r="AD62">
        <f>C62*0.5</f>
        <v>141.5</v>
      </c>
      <c r="AE62">
        <f>D62*3</f>
        <v>285</v>
      </c>
      <c r="AF62">
        <f>E62*8</f>
        <v>32</v>
      </c>
      <c r="AG62">
        <f>-1*(F62/2)</f>
        <v>-22</v>
      </c>
      <c r="AH62">
        <f>G62*-1</f>
        <v>-5</v>
      </c>
      <c r="AI62">
        <f>H62*13</f>
        <v>0</v>
      </c>
      <c r="AJ62">
        <f>I62*5</f>
        <v>5</v>
      </c>
      <c r="AK62">
        <f>J62*-1</f>
        <v>-1</v>
      </c>
      <c r="AL62">
        <f>SUM(X62:AC62)</f>
        <v>12</v>
      </c>
      <c r="AM62">
        <f>SUM(AD62:AL62)</f>
        <v>447.5</v>
      </c>
      <c r="AN62">
        <f>SUM(C62:G62,J62)</f>
        <v>432</v>
      </c>
      <c r="AO62" s="1">
        <f>AM62/AN62</f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>AM63-U63</f>
        <v>2</v>
      </c>
      <c r="X63">
        <f>IF(O63=1,50,IF(O63=2,25,IF(O63=3,18,IF(O63=4,16,IF(O63=5,14,IF(O63=6,12,IF(O63=7,10,IF(O63=8,9,IF(O63=10,7,IF(O63&lt;=15,6,IF(O63&lt;=20,5,IF(O63&lt;=25,4,IF(O63&lt;=30,3,IF(O63&lt;=40,2,IF(O63&lt;=50,1,IF(O63&gt;50,0))))))))))))))))</f>
        <v>4</v>
      </c>
      <c r="Y63">
        <f>IF(P63=1,50,IF(P63=2,25,IF(P63=3,18,IF(P63=4,16,IF(P63=5,14,IF(P63=6,12,IF(P63=7,10,IF(P63=8,9,IF(P63=10,7,IF(P63&lt;=15,6,IF(P63&lt;=20,5,IF(P63&lt;=25,4,IF(P63&lt;=30,3,IF(P63&lt;=40,2,IF(P63&lt;=50,1,IF(P63&gt;50,0))))))))))))))))</f>
        <v>3</v>
      </c>
      <c r="Z63">
        <f>IF(Q63=1,50,IF(Q63=2,25,IF(Q63=3,18,IF(Q63=4,16,IF(Q63=5,14,IF(Q63=6,12,IF(Q63=7,10,IF(Q63=8,9,IF(Q63=10,7,IF(Q63&lt;=15,6,IF(Q63&lt;=20,5,IF(Q63&lt;=25,4,IF(Q63&lt;=30,3,IF(Q63&lt;=40,2,IF(Q63&lt;=50,1,IF(Q63&gt;50,0))))))))))))))))</f>
        <v>3</v>
      </c>
      <c r="AA63">
        <f>IF(R63=1,50,IF(R63=2,25,IF(R63=3,18,IF(R63=4,16,IF(R63=5,14,IF(R63=6,12,IF(R63=7,10,IF(R63=8,9,IF(R63=10,7,IF(R63&lt;=15,6,IF(R63&lt;=20,5,IF(R63&lt;=25,4,IF(R63&lt;=30,3,IF(R63&lt;=40,2,IF(R63&lt;=50,1,IF(R63&gt;50,0))))))))))))))))</f>
        <v>2</v>
      </c>
      <c r="AB63">
        <f>IF(S63=1,50,IF(S63=2,25,IF(S63=3,18,IF(S63=4,16,IF(S63=5,14,IF(S63=6,12,IF(S63=7,10,IF(S63=8,9,IF(S63=10,7,IF(S63&lt;=15,6,IF(S63&lt;=20,5,IF(S63&lt;=25,4,IF(S63&lt;=30,3,IF(S63&lt;=40,2,IF(S63&lt;=50,1,IF(S63&gt;50,0))))))))))))))))</f>
        <v>0</v>
      </c>
      <c r="AC63">
        <f>IF(T63=1,50,IF(T63=2,25,IF(T63=3,18,IF(T63=4,16,IF(T63=5,14,IF(T63=6,12,IF(T63=7,10,IF(T63=8,9,IF(T63=10,7,IF(T63&lt;=15,6,IF(T63&lt;=20,5,IF(T63&lt;=25,4,IF(T63&lt;=30,3,IF(T63&lt;=40,2,IF(T63&lt;=50,1,IF(T63&gt;50,0))))))))))))))))</f>
        <v>0</v>
      </c>
      <c r="AD63">
        <f>C63*0.5</f>
        <v>113</v>
      </c>
      <c r="AE63">
        <f>D63*3</f>
        <v>261</v>
      </c>
      <c r="AF63">
        <f>E63*8</f>
        <v>0</v>
      </c>
      <c r="AG63">
        <f>-1*(F63/2)</f>
        <v>-19</v>
      </c>
      <c r="AH63">
        <f>G63*-1</f>
        <v>-8</v>
      </c>
      <c r="AI63">
        <f>H63*13</f>
        <v>0</v>
      </c>
      <c r="AJ63">
        <f>I63*5</f>
        <v>0</v>
      </c>
      <c r="AK63">
        <f>J63*-1</f>
        <v>-1</v>
      </c>
      <c r="AL63">
        <f>SUM(X63:AC63)</f>
        <v>12</v>
      </c>
      <c r="AM63">
        <f>SUM(AD63:AL63)</f>
        <v>358</v>
      </c>
      <c r="AN63">
        <f>SUM(C63:G63,J63)</f>
        <v>360</v>
      </c>
      <c r="AO63" s="1">
        <f>AM63/AN63</f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30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>AM64-U64</f>
        <v>59.5</v>
      </c>
      <c r="X64">
        <f>IF(O64=1,50,IF(O64=2,25,IF(O64=3,18,IF(O64=4,16,IF(O64=5,14,IF(O64=6,12,IF(O64=7,10,IF(O64=8,9,IF(O64=10,7,IF(O64&lt;=15,6,IF(O64&lt;=20,5,IF(O64&lt;=25,4,IF(O64&lt;=30,3,IF(O64&lt;=40,2,IF(O64&lt;=50,1,IF(O64&gt;50,0))))))))))))))))</f>
        <v>4</v>
      </c>
      <c r="Y64">
        <f>IF(P64=1,50,IF(P64=2,25,IF(P64=3,18,IF(P64=4,16,IF(P64=5,14,IF(P64=6,12,IF(P64=7,10,IF(P64=8,9,IF(P64=10,7,IF(P64&lt;=15,6,IF(P64&lt;=20,5,IF(P64&lt;=25,4,IF(P64&lt;=30,3,IF(P64&lt;=40,2,IF(P64&lt;=50,1,IF(P64&gt;50,0))))))))))))))))</f>
        <v>1</v>
      </c>
      <c r="Z64">
        <f>IF(Q64=1,50,IF(Q64=2,25,IF(Q64=3,18,IF(Q64=4,16,IF(Q64=5,14,IF(Q64=6,12,IF(Q64=7,10,IF(Q64=8,9,IF(Q64=10,7,IF(Q64&lt;=15,6,IF(Q64&lt;=20,5,IF(Q64&lt;=25,4,IF(Q64&lt;=30,3,IF(Q64&lt;=40,2,IF(Q64&lt;=50,1,IF(Q64&gt;50,0))))))))))))))))</f>
        <v>1</v>
      </c>
      <c r="AA64">
        <f>IF(R64=1,50,IF(R64=2,25,IF(R64=3,18,IF(R64=4,16,IF(R64=5,14,IF(R64=6,12,IF(R64=7,10,IF(R64=8,9,IF(R64=10,7,IF(R64&lt;=15,6,IF(R64&lt;=20,5,IF(R64&lt;=25,4,IF(R64&lt;=30,3,IF(R64&lt;=40,2,IF(R64&lt;=50,1,IF(R64&gt;50,0))))))))))))))))</f>
        <v>0</v>
      </c>
      <c r="AB64">
        <f>IF(S64=1,50,IF(S64=2,25,IF(S64=3,18,IF(S64=4,16,IF(S64=5,14,IF(S64=6,12,IF(S64=7,10,IF(S64=8,9,IF(S64=10,7,IF(S64&lt;=15,6,IF(S64&lt;=20,5,IF(S64&lt;=25,4,IF(S64&lt;=30,3,IF(S64&lt;=40,2,IF(S64&lt;=50,1,IF(S64&gt;50,0))))))))))))))))</f>
        <v>0</v>
      </c>
      <c r="AC64">
        <f>IF(T64=1,50,IF(T64=2,25,IF(T64=3,18,IF(T64=4,16,IF(T64=5,14,IF(T64=6,12,IF(T64=7,10,IF(T64=8,9,IF(T64=10,7,IF(T64&lt;=15,6,IF(T64&lt;=20,5,IF(T64&lt;=25,4,IF(T64&lt;=30,3,IF(T64&lt;=40,2,IF(T64&lt;=50,1,IF(T64&gt;50,0))))))))))))))))</f>
        <v>0</v>
      </c>
      <c r="AD64">
        <f>C64*0.5</f>
        <v>142</v>
      </c>
      <c r="AE64">
        <f>D64*3</f>
        <v>270</v>
      </c>
      <c r="AF64">
        <f>E64*8</f>
        <v>32</v>
      </c>
      <c r="AG64">
        <f>-1*(F64/2)</f>
        <v>-19.5</v>
      </c>
      <c r="AH64">
        <f>G64*-1</f>
        <v>-12</v>
      </c>
      <c r="AI64">
        <f>H64*13</f>
        <v>0</v>
      </c>
      <c r="AJ64">
        <f>I64*5</f>
        <v>0</v>
      </c>
      <c r="AK64">
        <f>J64*-1</f>
        <v>-3</v>
      </c>
      <c r="AL64">
        <f>SUM(X64:AC64)</f>
        <v>6</v>
      </c>
      <c r="AM64">
        <f>SUM(AD64:AL64)</f>
        <v>415.5</v>
      </c>
      <c r="AN64">
        <f>SUM(C64:G64,J64)</f>
        <v>432</v>
      </c>
      <c r="AO64" s="1">
        <f>AM64/AN64</f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>AM65-U65</f>
        <v>88.5</v>
      </c>
      <c r="X65">
        <f>IF(O65=1,50,IF(O65=2,25,IF(O65=3,18,IF(O65=4,16,IF(O65=5,14,IF(O65=6,12,IF(O65=7,10,IF(O65=8,9,IF(O65=10,7,IF(O65&lt;=15,6,IF(O65&lt;=20,5,IF(O65&lt;=25,4,IF(O65&lt;=30,3,IF(O65&lt;=40,2,IF(O65&lt;=50,1,IF(O65&gt;50,0))))))))))))))))</f>
        <v>25</v>
      </c>
      <c r="Y65">
        <f>IF(P65=1,50,IF(P65=2,25,IF(P65=3,18,IF(P65=4,16,IF(P65=5,14,IF(P65=6,12,IF(P65=7,10,IF(P65=8,9,IF(P65=10,7,IF(P65&lt;=15,6,IF(P65&lt;=20,5,IF(P65&lt;=25,4,IF(P65&lt;=30,3,IF(P65&lt;=40,2,IF(P65&lt;=50,1,IF(P65&gt;50,0))))))))))))))))</f>
        <v>16</v>
      </c>
      <c r="Z65">
        <f>IF(Q65=1,50,IF(Q65=2,25,IF(Q65=3,18,IF(Q65=4,16,IF(Q65=5,14,IF(Q65=6,12,IF(Q65=7,10,IF(Q65=8,9,IF(Q65=10,7,IF(Q65&lt;=15,6,IF(Q65&lt;=20,5,IF(Q65&lt;=25,4,IF(Q65&lt;=30,3,IF(Q65&lt;=40,2,IF(Q65&lt;=50,1,IF(Q65&gt;50,0))))))))))))))))</f>
        <v>16</v>
      </c>
      <c r="AA65">
        <f>IF(R65=1,50,IF(R65=2,25,IF(R65=3,18,IF(R65=4,16,IF(R65=5,14,IF(R65=6,12,IF(R65=7,10,IF(R65=8,9,IF(R65=10,7,IF(R65&lt;=15,6,IF(R65&lt;=20,5,IF(R65&lt;=25,4,IF(R65&lt;=30,3,IF(R65&lt;=40,2,IF(R65&lt;=50,1,IF(R65&gt;50,0))))))))))))))))</f>
        <v>1</v>
      </c>
      <c r="AB65">
        <f>IF(S65=1,50,IF(S65=2,25,IF(S65=3,18,IF(S65=4,16,IF(S65=5,14,IF(S65=6,12,IF(S65=7,10,IF(S65=8,9,IF(S65=10,7,IF(S65&lt;=15,6,IF(S65&lt;=20,5,IF(S65&lt;=25,4,IF(S65&lt;=30,3,IF(S65&lt;=40,2,IF(S65&lt;=50,1,IF(S65&gt;50,0))))))))))))))))</f>
        <v>0</v>
      </c>
      <c r="AC65">
        <f>IF(T65=1,50,IF(T65=2,25,IF(T65=3,18,IF(T65=4,16,IF(T65=5,14,IF(T65=6,12,IF(T65=7,10,IF(T65=8,9,IF(T65=10,7,IF(T65&lt;=15,6,IF(T65&lt;=20,5,IF(T65&lt;=25,4,IF(T65&lt;=30,3,IF(T65&lt;=40,2,IF(T65&lt;=50,1,IF(T65&gt;50,0))))))))))))))))</f>
        <v>0</v>
      </c>
      <c r="AD65">
        <f>C65*0.5</f>
        <v>112.5</v>
      </c>
      <c r="AE65">
        <f>D65*3</f>
        <v>258</v>
      </c>
      <c r="AF65">
        <f>E65*8</f>
        <v>40</v>
      </c>
      <c r="AG65">
        <f>-1*(F65/2)</f>
        <v>-20</v>
      </c>
      <c r="AH65">
        <f>G65*-1</f>
        <v>-4</v>
      </c>
      <c r="AI65">
        <f>H65*13</f>
        <v>0</v>
      </c>
      <c r="AJ65">
        <f>I65*5</f>
        <v>0</v>
      </c>
      <c r="AK65">
        <f>J65*-1</f>
        <v>0</v>
      </c>
      <c r="AL65">
        <f>SUM(X65:AC65)</f>
        <v>58</v>
      </c>
      <c r="AM65">
        <f>SUM(AD65:AL65)</f>
        <v>444.5</v>
      </c>
      <c r="AN65">
        <f>SUM(C65:G65,J65)</f>
        <v>360</v>
      </c>
      <c r="AO65" s="1">
        <f>AM65/AN65</f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>AM66-U66</f>
        <v>9</v>
      </c>
      <c r="X66">
        <f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>C66*0.5</f>
        <v>124.5</v>
      </c>
      <c r="AE66">
        <f>D66*3</f>
        <v>288</v>
      </c>
      <c r="AF66">
        <f>E66*8</f>
        <v>0</v>
      </c>
      <c r="AG66">
        <f>-1*(F66/2)</f>
        <v>-40</v>
      </c>
      <c r="AH66">
        <f>G66*-1</f>
        <v>-5</v>
      </c>
      <c r="AI66">
        <f>H66*13</f>
        <v>0</v>
      </c>
      <c r="AJ66">
        <f>I66*5</f>
        <v>0</v>
      </c>
      <c r="AK66">
        <f>J66*-1</f>
        <v>-2</v>
      </c>
      <c r="AL66">
        <f>SUM(X66:AC66)</f>
        <v>22</v>
      </c>
      <c r="AM66">
        <f>SUM(AD66:AL66)</f>
        <v>387.5</v>
      </c>
      <c r="AN66">
        <f>SUM(C66:G66,J66)</f>
        <v>432</v>
      </c>
      <c r="AO66" s="1">
        <f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>AM67-U67</f>
        <v>-3</v>
      </c>
      <c r="X67">
        <f>IF(O67=1,50,IF(O67=2,25,IF(O67=3,18,IF(O67=4,16,IF(O67=5,14,IF(O67=6,12,IF(O67=7,10,IF(O67=8,9,IF(O67=10,7,IF(O67&lt;=15,6,IF(O67&lt;=20,5,IF(O67&lt;=25,4,IF(O67&lt;=30,3,IF(O67&lt;=40,2,IF(O67&lt;=50,1,IF(O67&gt;50,0))))))))))))))))</f>
        <v>6</v>
      </c>
      <c r="Y67">
        <f>IF(P67=1,50,IF(P67=2,25,IF(P67=3,18,IF(P67=4,16,IF(P67=5,14,IF(P67=6,12,IF(P67=7,10,IF(P67=8,9,IF(P67=10,7,IF(P67&lt;=15,6,IF(P67&lt;=20,5,IF(P67&lt;=25,4,IF(P67&lt;=30,3,IF(P67&lt;=40,2,IF(P67&lt;=50,1,IF(P67&gt;50,0))))))))))))))))</f>
        <v>4</v>
      </c>
      <c r="Z67">
        <f>IF(Q67=1,50,IF(Q67=2,25,IF(Q67=3,18,IF(Q67=4,16,IF(Q67=5,14,IF(Q67=6,12,IF(Q67=7,10,IF(Q67=8,9,IF(Q67=10,7,IF(Q67&lt;=15,6,IF(Q67&lt;=20,5,IF(Q67&lt;=25,4,IF(Q67&lt;=30,3,IF(Q67&lt;=40,2,IF(Q67&lt;=50,1,IF(Q67&gt;50,0))))))))))))))))</f>
        <v>4</v>
      </c>
      <c r="AA67">
        <f>IF(R67=1,50,IF(R67=2,25,IF(R67=3,18,IF(R67=4,16,IF(R67=5,14,IF(R67=6,12,IF(R67=7,10,IF(R67=8,9,IF(R67=10,7,IF(R67&lt;=15,6,IF(R67&lt;=20,5,IF(R67&lt;=25,4,IF(R67&lt;=30,3,IF(R67&lt;=40,2,IF(R67&lt;=50,1,IF(R67&gt;50,0))))))))))))))))</f>
        <v>3</v>
      </c>
      <c r="AB67">
        <f>IF(S67=1,50,IF(S67=2,25,IF(S67=3,18,IF(S67=4,16,IF(S67=5,14,IF(S67=6,12,IF(S67=7,10,IF(S67=8,9,IF(S67=10,7,IF(S67&lt;=15,6,IF(S67&lt;=20,5,IF(S67&lt;=25,4,IF(S67&lt;=30,3,IF(S67&lt;=40,2,IF(S67&lt;=50,1,IF(S67&gt;50,0))))))))))))))))</f>
        <v>2</v>
      </c>
      <c r="AC67">
        <f>IF(T67=1,50,IF(T67=2,25,IF(T67=3,18,IF(T67=4,16,IF(T67=5,14,IF(T67=6,12,IF(T67=7,10,IF(T67=8,9,IF(T67=10,7,IF(T67&lt;=15,6,IF(T67&lt;=20,5,IF(T67&lt;=25,4,IF(T67&lt;=30,3,IF(T67&lt;=40,2,IF(T67&lt;=50,1,IF(T67&gt;50,0))))))))))))))))</f>
        <v>1</v>
      </c>
      <c r="AD67">
        <f>C67*0.5</f>
        <v>134</v>
      </c>
      <c r="AE67">
        <f>D67*3</f>
        <v>243</v>
      </c>
      <c r="AF67">
        <f>E67*8</f>
        <v>24</v>
      </c>
      <c r="AG67">
        <f>-1*(F67/2)</f>
        <v>-34.5</v>
      </c>
      <c r="AH67">
        <f>G67*-1</f>
        <v>-11</v>
      </c>
      <c r="AI67">
        <f>H67*13</f>
        <v>0</v>
      </c>
      <c r="AJ67">
        <f>I67*5</f>
        <v>0</v>
      </c>
      <c r="AK67">
        <f>J67*-1</f>
        <v>0</v>
      </c>
      <c r="AL67">
        <f>SUM(X67:AC67)</f>
        <v>20</v>
      </c>
      <c r="AM67">
        <f>SUM(AD67:AL67)</f>
        <v>375.5</v>
      </c>
      <c r="AN67">
        <f>SUM(C67:G67,J67)</f>
        <v>432</v>
      </c>
      <c r="AO67" s="1">
        <f>AM67/AN67</f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>AM68-U68</f>
        <v>-43</v>
      </c>
      <c r="X68">
        <f>IF(O68=1,50,IF(O68=2,25,IF(O68=3,18,IF(O68=4,16,IF(O68=5,14,IF(O68=6,12,IF(O68=7,10,IF(O68=8,9,IF(O68=10,7,IF(O68&lt;=15,6,IF(O68&lt;=20,5,IF(O68&lt;=25,4,IF(O68&lt;=30,3,IF(O68&lt;=40,2,IF(O68&lt;=50,1,IF(O68&gt;50,0))))))))))))))))</f>
        <v>16</v>
      </c>
      <c r="Y68">
        <f>IF(P68=1,50,IF(P68=2,25,IF(P68=3,18,IF(P68=4,16,IF(P68=5,14,IF(P68=6,12,IF(P68=7,10,IF(P68=8,9,IF(P68=10,7,IF(P68&lt;=15,6,IF(P68&lt;=20,5,IF(P68&lt;=25,4,IF(P68&lt;=30,3,IF(P68&lt;=40,2,IF(P68&lt;=50,1,IF(P68&gt;50,0))))))))))))))))</f>
        <v>9</v>
      </c>
      <c r="Z68">
        <f>IF(Q68=1,50,IF(Q68=2,25,IF(Q68=3,18,IF(Q68=4,16,IF(Q68=5,14,IF(Q68=6,12,IF(Q68=7,10,IF(Q68=8,9,IF(Q68=10,7,IF(Q68&lt;=15,6,IF(Q68&lt;=20,5,IF(Q68&lt;=25,4,IF(Q68&lt;=30,3,IF(Q68&lt;=40,2,IF(Q68&lt;=50,1,IF(Q68&gt;50,0))))))))))))))))</f>
        <v>5</v>
      </c>
      <c r="AA68">
        <f>IF(R68=1,50,IF(R68=2,25,IF(R68=3,18,IF(R68=4,16,IF(R68=5,14,IF(R68=6,12,IF(R68=7,10,IF(R68=8,9,IF(R68=10,7,IF(R68&lt;=15,6,IF(R68&lt;=20,5,IF(R68&lt;=25,4,IF(R68&lt;=30,3,IF(R68&lt;=40,2,IF(R68&lt;=50,1,IF(R68&gt;50,0))))))))))))))))</f>
        <v>1</v>
      </c>
      <c r="AB68">
        <f>IF(S68=1,50,IF(S68=2,25,IF(S68=3,18,IF(S68=4,16,IF(S68=5,14,IF(S68=6,12,IF(S68=7,10,IF(S68=8,9,IF(S68=10,7,IF(S68&lt;=15,6,IF(S68&lt;=20,5,IF(S68&lt;=25,4,IF(S68&lt;=30,3,IF(S68&lt;=40,2,IF(S68&lt;=50,1,IF(S68&gt;50,0))))))))))))))))</f>
        <v>0</v>
      </c>
      <c r="AC68">
        <f>IF(T68=1,50,IF(T68=2,25,IF(T68=3,18,IF(T68=4,16,IF(T68=5,14,IF(T68=6,12,IF(T68=7,10,IF(T68=8,9,IF(T68=10,7,IF(T68&lt;=15,6,IF(T68&lt;=20,5,IF(T68&lt;=25,4,IF(T68&lt;=30,3,IF(T68&lt;=40,2,IF(T68&lt;=50,1,IF(T68&gt;50,0))))))))))))))))</f>
        <v>0</v>
      </c>
      <c r="AD68">
        <f>C68*0.5</f>
        <v>128.5</v>
      </c>
      <c r="AE68">
        <f>D68*3</f>
        <v>213</v>
      </c>
      <c r="AF68">
        <f>E68*8</f>
        <v>0</v>
      </c>
      <c r="AG68">
        <f>-1*(F68/2)</f>
        <v>-31</v>
      </c>
      <c r="AH68">
        <f>G68*-1</f>
        <v>-4</v>
      </c>
      <c r="AI68">
        <f>H68*13</f>
        <v>0</v>
      </c>
      <c r="AJ68">
        <f>I68*5</f>
        <v>0</v>
      </c>
      <c r="AK68">
        <f>J68*-1</f>
        <v>-2</v>
      </c>
      <c r="AL68">
        <f>SUM(X68:AC68)</f>
        <v>31</v>
      </c>
      <c r="AM68">
        <f>SUM(AD68:AL68)</f>
        <v>335.5</v>
      </c>
      <c r="AN68">
        <f>SUM(C68:G68,J68)</f>
        <v>396</v>
      </c>
      <c r="AO68" s="1">
        <f>AM68/AN68</f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>AM69-U69</f>
        <v>73</v>
      </c>
      <c r="X69">
        <f>IF(O69=1,50,IF(O69=2,25,IF(O69=3,18,IF(O69=4,16,IF(O69=5,14,IF(O69=6,12,IF(O69=7,10,IF(O69=8,9,IF(O69=10,7,IF(O69&lt;=15,6,IF(O69&lt;=20,5,IF(O69&lt;=25,4,IF(O69&lt;=30,3,IF(O69&lt;=40,2,IF(O69&lt;=50,1,IF(O69&gt;50,0))))))))))))))))</f>
        <v>50</v>
      </c>
      <c r="Y69">
        <f>IF(P69=1,50,IF(P69=2,25,IF(P69=3,18,IF(P69=4,16,IF(P69=5,14,IF(P69=6,12,IF(P69=7,10,IF(P69=8,9,IF(P69=10,7,IF(P69&lt;=15,6,IF(P69&lt;=20,5,IF(P69&lt;=25,4,IF(P69&lt;=30,3,IF(P69&lt;=40,2,IF(P69&lt;=50,1,IF(P69&gt;50,0))))))))))))))))</f>
        <v>16</v>
      </c>
      <c r="Z69">
        <f>IF(Q69=1,50,IF(Q69=2,25,IF(Q69=3,18,IF(Q69=4,16,IF(Q69=5,14,IF(Q69=6,12,IF(Q69=7,10,IF(Q69=8,9,IF(Q69=10,7,IF(Q69&lt;=15,6,IF(Q69&lt;=20,5,IF(Q69&lt;=25,4,IF(Q69&lt;=30,3,IF(Q69&lt;=40,2,IF(Q69&lt;=50,1,IF(Q69&gt;50,0))))))))))))))))</f>
        <v>12</v>
      </c>
      <c r="AA69">
        <f>IF(R69=1,50,IF(R69=2,25,IF(R69=3,18,IF(R69=4,16,IF(R69=5,14,IF(R69=6,12,IF(R69=7,10,IF(R69=8,9,IF(R69=10,7,IF(R69&lt;=15,6,IF(R69&lt;=20,5,IF(R69&lt;=25,4,IF(R69&lt;=30,3,IF(R69&lt;=40,2,IF(R69&lt;=50,1,IF(R69&gt;50,0))))))))))))))))</f>
        <v>9</v>
      </c>
      <c r="AB69">
        <f>IF(S69=1,50,IF(S69=2,25,IF(S69=3,18,IF(S69=4,16,IF(S69=5,14,IF(S69=6,12,IF(S69=7,10,IF(S69=8,9,IF(S69=10,7,IF(S69&lt;=15,6,IF(S69&lt;=20,5,IF(S69&lt;=25,4,IF(S69&lt;=30,3,IF(S69&lt;=40,2,IF(S69&lt;=50,1,IF(S69&gt;50,0))))))))))))))))</f>
        <v>1</v>
      </c>
      <c r="AC69">
        <f>IF(T69=1,50,IF(T69=2,25,IF(T69=3,18,IF(T69=4,16,IF(T69=5,14,IF(T69=6,12,IF(T69=7,10,IF(T69=8,9,IF(T69=10,7,IF(T69&lt;=15,6,IF(T69&lt;=20,5,IF(T69&lt;=25,4,IF(T69&lt;=30,3,IF(T69&lt;=40,2,IF(T69&lt;=50,1,IF(T69&gt;50,0))))))))))))))))</f>
        <v>0</v>
      </c>
      <c r="AD69">
        <f>C69*0.5</f>
        <v>127.5</v>
      </c>
      <c r="AE69">
        <f>D69*3</f>
        <v>237</v>
      </c>
      <c r="AF69">
        <f>E69*8</f>
        <v>32</v>
      </c>
      <c r="AG69">
        <f>-1*(F69/2)</f>
        <v>-25</v>
      </c>
      <c r="AH69">
        <f>G69*-1</f>
        <v>-8</v>
      </c>
      <c r="AI69">
        <f>H69*13</f>
        <v>0</v>
      </c>
      <c r="AJ69">
        <f>I69*5</f>
        <v>0</v>
      </c>
      <c r="AK69">
        <f>J69*-1</f>
        <v>0</v>
      </c>
      <c r="AL69">
        <f>SUM(X69:AC69)</f>
        <v>88</v>
      </c>
      <c r="AM69">
        <f>SUM(AD69:AL69)</f>
        <v>451.5</v>
      </c>
      <c r="AN69">
        <f>SUM(C69:G69,J69)</f>
        <v>396</v>
      </c>
      <c r="AO69" s="1">
        <f>AM69/AN69</f>
        <v>1.1401515151515151</v>
      </c>
    </row>
    <row r="70" spans="1:41" x14ac:dyDescent="0.25">
      <c r="A70" t="s">
        <v>30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>AM70-U70</f>
        <v>-65.5</v>
      </c>
      <c r="X70">
        <f>IF(O70=1,50,IF(O70=2,25,IF(O70=3,18,IF(O70=4,16,IF(O70=5,14,IF(O70=6,12,IF(O70=7,10,IF(O70=8,9,IF(O70=10,7,IF(O70&lt;=15,6,IF(O70&lt;=20,5,IF(O70&lt;=25,4,IF(O70&lt;=30,3,IF(O70&lt;=40,2,IF(O70&lt;=50,1,IF(O70&gt;50,0))))))))))))))))</f>
        <v>4</v>
      </c>
      <c r="Y70">
        <f>IF(P70=1,50,IF(P70=2,25,IF(P70=3,18,IF(P70=4,16,IF(P70=5,14,IF(P70=6,12,IF(P70=7,10,IF(P70=8,9,IF(P70=10,7,IF(P70&lt;=15,6,IF(P70&lt;=20,5,IF(P70&lt;=25,4,IF(P70&lt;=30,3,IF(P70&lt;=40,2,IF(P70&lt;=50,1,IF(P70&gt;50,0))))))))))))))))</f>
        <v>3</v>
      </c>
      <c r="Z70">
        <f>IF(Q70=1,50,IF(Q70=2,25,IF(Q70=3,18,IF(Q70=4,16,IF(Q70=5,14,IF(Q70=6,12,IF(Q70=7,10,IF(Q70=8,9,IF(Q70=10,7,IF(Q70&lt;=15,6,IF(Q70&lt;=20,5,IF(Q70&lt;=25,4,IF(Q70&lt;=30,3,IF(Q70&lt;=40,2,IF(Q70&lt;=50,1,IF(Q70&gt;50,0))))))))))))))))</f>
        <v>3</v>
      </c>
      <c r="AA70">
        <f>IF(R70=1,50,IF(R70=2,25,IF(R70=3,18,IF(R70=4,16,IF(R70=5,14,IF(R70=6,12,IF(R70=7,10,IF(R70=8,9,IF(R70=10,7,IF(R70&lt;=15,6,IF(R70&lt;=20,5,IF(R70&lt;=25,4,IF(R70&lt;=30,3,IF(R70&lt;=40,2,IF(R70&lt;=50,1,IF(R70&gt;50,0))))))))))))))))</f>
        <v>2</v>
      </c>
      <c r="AB70">
        <f>IF(S70=1,50,IF(S70=2,25,IF(S70=3,18,IF(S70=4,16,IF(S70=5,14,IF(S70=6,12,IF(S70=7,10,IF(S70=8,9,IF(S70=10,7,IF(S70&lt;=15,6,IF(S70&lt;=20,5,IF(S70&lt;=25,4,IF(S70&lt;=30,3,IF(S70&lt;=40,2,IF(S70&lt;=50,1,IF(S70&gt;50,0))))))))))))))))</f>
        <v>1</v>
      </c>
      <c r="AC70">
        <f>IF(T70=1,50,IF(T70=2,25,IF(T70=3,18,IF(T70=4,16,IF(T70=5,14,IF(T70=6,12,IF(T70=7,10,IF(T70=8,9,IF(T70=10,7,IF(T70&lt;=15,6,IF(T70&lt;=20,5,IF(T70&lt;=25,4,IF(T70&lt;=30,3,IF(T70&lt;=40,2,IF(T70&lt;=50,1,IF(T70&gt;50,0))))))))))))))))</f>
        <v>0</v>
      </c>
      <c r="AD70">
        <f>C70*0.5</f>
        <v>123</v>
      </c>
      <c r="AE70">
        <f>D70*3</f>
        <v>219</v>
      </c>
      <c r="AF70">
        <f>E70*8</f>
        <v>0</v>
      </c>
      <c r="AG70">
        <f>-1*(F70/2)</f>
        <v>-35</v>
      </c>
      <c r="AH70">
        <f>G70*-1</f>
        <v>-6</v>
      </c>
      <c r="AI70">
        <f>H70*13</f>
        <v>0</v>
      </c>
      <c r="AJ70">
        <f>I70*5</f>
        <v>0</v>
      </c>
      <c r="AK70">
        <f>J70*-1</f>
        <v>-1</v>
      </c>
      <c r="AL70">
        <f>SUM(X70:AC70)</f>
        <v>13</v>
      </c>
      <c r="AM70">
        <f>SUM(AD70:AL70)</f>
        <v>313</v>
      </c>
      <c r="AN70">
        <f>SUM(C70:G70,J70)</f>
        <v>396</v>
      </c>
      <c r="AO70" s="1">
        <f>AM70/AN70</f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30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>AM71-U71</f>
        <v>27</v>
      </c>
      <c r="X71">
        <f>IF(O71=1,50,IF(O71=2,25,IF(O71=3,18,IF(O71=4,16,IF(O71=5,14,IF(O71=6,12,IF(O71=7,10,IF(O71=8,9,IF(O71=10,7,IF(O71&lt;=15,6,IF(O71&lt;=20,5,IF(O71&lt;=25,4,IF(O71&lt;=30,3,IF(O71&lt;=40,2,IF(O71&lt;=50,1,IF(O71&gt;50,0))))))))))))))))</f>
        <v>25</v>
      </c>
      <c r="Y71">
        <f>IF(P71=1,50,IF(P71=2,25,IF(P71=3,18,IF(P71=4,16,IF(P71=5,14,IF(P71=6,12,IF(P71=7,10,IF(P71=8,9,IF(P71=10,7,IF(P71&lt;=15,6,IF(P71&lt;=20,5,IF(P71&lt;=25,4,IF(P71&lt;=30,3,IF(P71&lt;=40,2,IF(P71&lt;=50,1,IF(P71&gt;50,0))))))))))))))))</f>
        <v>9</v>
      </c>
      <c r="Z71">
        <f>IF(Q71=1,50,IF(Q71=2,25,IF(Q71=3,18,IF(Q71=4,16,IF(Q71=5,14,IF(Q71=6,12,IF(Q71=7,10,IF(Q71=8,9,IF(Q71=10,7,IF(Q71&lt;=15,6,IF(Q71&lt;=20,5,IF(Q71&lt;=25,4,IF(Q71&lt;=30,3,IF(Q71&lt;=40,2,IF(Q71&lt;=50,1,IF(Q71&gt;50,0))))))))))))))))</f>
        <v>4</v>
      </c>
      <c r="AA71">
        <f>IF(R71=1,50,IF(R71=2,25,IF(R71=3,18,IF(R71=4,16,IF(R71=5,14,IF(R71=6,12,IF(R71=7,10,IF(R71=8,9,IF(R71=10,7,IF(R71&lt;=15,6,IF(R71&lt;=20,5,IF(R71&lt;=25,4,IF(R71&lt;=30,3,IF(R71&lt;=40,2,IF(R71&lt;=50,1,IF(R71&gt;50,0))))))))))))))))</f>
        <v>2</v>
      </c>
      <c r="AB71">
        <f>IF(S71=1,50,IF(S71=2,25,IF(S71=3,18,IF(S71=4,16,IF(S71=5,14,IF(S71=6,12,IF(S71=7,10,IF(S71=8,9,IF(S71=10,7,IF(S71&lt;=15,6,IF(S71&lt;=20,5,IF(S71&lt;=25,4,IF(S71&lt;=30,3,IF(S71&lt;=40,2,IF(S71&lt;=50,1,IF(S71&gt;50,0))))))))))))))))</f>
        <v>1</v>
      </c>
      <c r="AC71">
        <f>IF(T71=1,50,IF(T71=2,25,IF(T71=3,18,IF(T71=4,16,IF(T71=5,14,IF(T71=6,12,IF(T71=7,10,IF(T71=8,9,IF(T71=10,7,IF(T71&lt;=15,6,IF(T71&lt;=20,5,IF(T71&lt;=25,4,IF(T71&lt;=30,3,IF(T71&lt;=40,2,IF(T71&lt;=50,1,IF(T71&gt;50,0))))))))))))))))</f>
        <v>0</v>
      </c>
      <c r="AD71">
        <f>C71*0.5</f>
        <v>130</v>
      </c>
      <c r="AE71">
        <f>D71*3</f>
        <v>270</v>
      </c>
      <c r="AF71">
        <f>E71*8</f>
        <v>8</v>
      </c>
      <c r="AG71">
        <f>-1*(F71/2)</f>
        <v>-37.5</v>
      </c>
      <c r="AH71">
        <f>G71*-1</f>
        <v>-5</v>
      </c>
      <c r="AI71">
        <f>H71*13</f>
        <v>0</v>
      </c>
      <c r="AJ71">
        <f>I71*5</f>
        <v>0</v>
      </c>
      <c r="AK71">
        <f>J71*-1</f>
        <v>-1</v>
      </c>
      <c r="AL71">
        <f>SUM(X71:AC71)</f>
        <v>41</v>
      </c>
      <c r="AM71">
        <f>SUM(AD71:AL71)</f>
        <v>405.5</v>
      </c>
      <c r="AN71">
        <f>SUM(C71:G71,J71)</f>
        <v>432</v>
      </c>
      <c r="AO71" s="1">
        <f>AM71/AN71</f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>AM72-U72</f>
        <v>-151.5</v>
      </c>
      <c r="X72">
        <f>IF(O72=1,50,IF(O72=2,25,IF(O72=3,18,IF(O72=4,16,IF(O72=5,14,IF(O72=6,12,IF(O72=7,10,IF(O72=8,9,IF(O72=10,7,IF(O72&lt;=15,6,IF(O72&lt;=20,5,IF(O72&lt;=25,4,IF(O72&lt;=30,3,IF(O72&lt;=40,2,IF(O72&lt;=50,1,IF(O72&gt;50,0))))))))))))))))</f>
        <v>2</v>
      </c>
      <c r="Y72">
        <f>IF(P72=1,50,IF(P72=2,25,IF(P72=3,18,IF(P72=4,16,IF(P72=5,14,IF(P72=6,12,IF(P72=7,10,IF(P72=8,9,IF(P72=10,7,IF(P72&lt;=15,6,IF(P72&lt;=20,5,IF(P72&lt;=25,4,IF(P72&lt;=30,3,IF(P72&lt;=40,2,IF(P72&lt;=50,1,IF(P72&gt;50,0))))))))))))))))</f>
        <v>0</v>
      </c>
      <c r="Z72">
        <f>IF(Q72=1,50,IF(Q72=2,25,IF(Q72=3,18,IF(Q72=4,16,IF(Q72=5,14,IF(Q72=6,12,IF(Q72=7,10,IF(Q72=8,9,IF(Q72=10,7,IF(Q72&lt;=15,6,IF(Q72&lt;=20,5,IF(Q72&lt;=25,4,IF(Q72&lt;=30,3,IF(Q72&lt;=40,2,IF(Q72&lt;=50,1,IF(Q72&gt;50,0))))))))))))))))</f>
        <v>0</v>
      </c>
      <c r="AA72">
        <f>IF(R72=1,50,IF(R72=2,25,IF(R72=3,18,IF(R72=4,16,IF(R72=5,14,IF(R72=6,12,IF(R72=7,10,IF(R72=8,9,IF(R72=10,7,IF(R72&lt;=15,6,IF(R72&lt;=20,5,IF(R72&lt;=25,4,IF(R72&lt;=30,3,IF(R72&lt;=40,2,IF(R72&lt;=50,1,IF(R72&gt;50,0))))))))))))))))</f>
        <v>0</v>
      </c>
      <c r="AB72">
        <f>IF(S72=1,50,IF(S72=2,25,IF(S72=3,18,IF(S72=4,16,IF(S72=5,14,IF(S72=6,12,IF(S72=7,10,IF(S72=8,9,IF(S72=10,7,IF(S72&lt;=15,6,IF(S72&lt;=20,5,IF(S72&lt;=25,4,IF(S72&lt;=30,3,IF(S72&lt;=40,2,IF(S72&lt;=50,1,IF(S72&gt;50,0))))))))))))))))</f>
        <v>0</v>
      </c>
      <c r="AC72">
        <f>IF(T72=1,50,IF(T72=2,25,IF(T72=3,18,IF(T72=4,16,IF(T72=5,14,IF(T72=6,12,IF(T72=7,10,IF(T72=8,9,IF(T72=10,7,IF(T72&lt;=15,6,IF(T72&lt;=20,5,IF(T72&lt;=25,4,IF(T72&lt;=30,3,IF(T72&lt;=40,2,IF(T72&lt;=50,1,IF(T72&gt;50,0))))))))))))))))</f>
        <v>0</v>
      </c>
      <c r="AD72">
        <f>C72*0.5</f>
        <v>95.5</v>
      </c>
      <c r="AE72">
        <f>D72*3</f>
        <v>165</v>
      </c>
      <c r="AF72">
        <f>E72*8</f>
        <v>8</v>
      </c>
      <c r="AG72">
        <f>-1*(F72/2)</f>
        <v>-33.5</v>
      </c>
      <c r="AH72">
        <f>G72*-1</f>
        <v>-9</v>
      </c>
      <c r="AI72">
        <f>H72*13</f>
        <v>0</v>
      </c>
      <c r="AJ72">
        <f>I72*5</f>
        <v>0</v>
      </c>
      <c r="AK72">
        <f>J72*-1</f>
        <v>-1</v>
      </c>
      <c r="AL72">
        <f>SUM(X72:AC72)</f>
        <v>2</v>
      </c>
      <c r="AM72">
        <f>SUM(AD72:AL72)</f>
        <v>227</v>
      </c>
      <c r="AN72">
        <f>SUM(C72:G72,J72)</f>
        <v>324</v>
      </c>
      <c r="AO72" s="1">
        <f>AM72/AN72</f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>AM73-U73</f>
        <v>3</v>
      </c>
      <c r="X73">
        <f>IF(O73=1,50,IF(O73=2,25,IF(O73=3,18,IF(O73=4,16,IF(O73=5,14,IF(O73=6,12,IF(O73=7,10,IF(O73=8,9,IF(O73=10,7,IF(O73&lt;=15,6,IF(O73&lt;=20,5,IF(O73&lt;=25,4,IF(O73&lt;=30,3,IF(O73&lt;=40,2,IF(O73&lt;=50,1,IF(O73&gt;50,0))))))))))))))))</f>
        <v>18</v>
      </c>
      <c r="Y73">
        <f>IF(P73=1,50,IF(P73=2,25,IF(P73=3,18,IF(P73=4,16,IF(P73=5,14,IF(P73=6,12,IF(P73=7,10,IF(P73=8,9,IF(P73=10,7,IF(P73&lt;=15,6,IF(P73&lt;=20,5,IF(P73&lt;=25,4,IF(P73&lt;=30,3,IF(P73&lt;=40,2,IF(P73&lt;=50,1,IF(P73&gt;50,0))))))))))))))))</f>
        <v>6</v>
      </c>
      <c r="Z73">
        <f>IF(Q73=1,50,IF(Q73=2,25,IF(Q73=3,18,IF(Q73=4,16,IF(Q73=5,14,IF(Q73=6,12,IF(Q73=7,10,IF(Q73=8,9,IF(Q73=10,7,IF(Q73&lt;=15,6,IF(Q73&lt;=20,5,IF(Q73&lt;=25,4,IF(Q73&lt;=30,3,IF(Q73&lt;=40,2,IF(Q73&lt;=50,1,IF(Q73&gt;50,0))))))))))))))))</f>
        <v>5</v>
      </c>
      <c r="AA73">
        <f>IF(R73=1,50,IF(R73=2,25,IF(R73=3,18,IF(R73=4,16,IF(R73=5,14,IF(R73=6,12,IF(R73=7,10,IF(R73=8,9,IF(R73=10,7,IF(R73&lt;=15,6,IF(R73&lt;=20,5,IF(R73&lt;=25,4,IF(R73&lt;=30,3,IF(R73&lt;=40,2,IF(R73&lt;=50,1,IF(R73&gt;50,0))))))))))))))))</f>
        <v>2</v>
      </c>
      <c r="AB73">
        <f>IF(S73=1,50,IF(S73=2,25,IF(S73=3,18,IF(S73=4,16,IF(S73=5,14,IF(S73=6,12,IF(S73=7,10,IF(S73=8,9,IF(S73=10,7,IF(S73&lt;=15,6,IF(S73&lt;=20,5,IF(S73&lt;=25,4,IF(S73&lt;=30,3,IF(S73&lt;=40,2,IF(S73&lt;=50,1,IF(S73&gt;50,0))))))))))))))))</f>
        <v>1</v>
      </c>
      <c r="AC73">
        <f>IF(T73=1,50,IF(T73=2,25,IF(T73=3,18,IF(T73=4,16,IF(T73=5,14,IF(T73=6,12,IF(T73=7,10,IF(T73=8,9,IF(T73=10,7,IF(T73&lt;=15,6,IF(T73&lt;=20,5,IF(T73&lt;=25,4,IF(T73&lt;=30,3,IF(T73&lt;=40,2,IF(T73&lt;=50,1,IF(T73&gt;50,0))))))))))))))))</f>
        <v>0</v>
      </c>
      <c r="AD73">
        <f>C73*0.5</f>
        <v>112</v>
      </c>
      <c r="AE73">
        <f>D73*3</f>
        <v>258</v>
      </c>
      <c r="AF73">
        <f>E73*8</f>
        <v>24</v>
      </c>
      <c r="AG73">
        <f>-1*(F73/2)</f>
        <v>-38.5</v>
      </c>
      <c r="AH73">
        <f>G73*-1</f>
        <v>-5</v>
      </c>
      <c r="AI73">
        <f>H73*13</f>
        <v>0</v>
      </c>
      <c r="AJ73">
        <f>I73*5</f>
        <v>0</v>
      </c>
      <c r="AK73">
        <f>J73*-1</f>
        <v>-1</v>
      </c>
      <c r="AL73">
        <f>SUM(X73:AC73)</f>
        <v>32</v>
      </c>
      <c r="AM73">
        <f>SUM(AD73:AL73)</f>
        <v>381.5</v>
      </c>
      <c r="AN73">
        <f>SUM(C73:G73,J73)</f>
        <v>396</v>
      </c>
      <c r="AO73" s="1">
        <f>AM73/AN73</f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>AM74-U74</f>
        <v>149</v>
      </c>
      <c r="X74">
        <f>IF(O74=1,50,IF(O74=2,25,IF(O74=3,18,IF(O74=4,16,IF(O74=5,14,IF(O74=6,12,IF(O74=7,10,IF(O74=8,9,IF(O74=10,7,IF(O74&lt;=15,6,IF(O74&lt;=20,5,IF(O74&lt;=25,4,IF(O74&lt;=30,3,IF(O74&lt;=40,2,IF(O74&lt;=50,1,IF(O74&gt;50,0))))))))))))))))</f>
        <v>25</v>
      </c>
      <c r="Y74">
        <f>IF(P74=1,50,IF(P74=2,25,IF(P74=3,18,IF(P74=4,16,IF(P74=5,14,IF(P74=6,12,IF(P74=7,10,IF(P74=8,9,IF(P74=10,7,IF(P74&lt;=15,6,IF(P74&lt;=20,5,IF(P74&lt;=25,4,IF(P74&lt;=30,3,IF(P74&lt;=40,2,IF(P74&lt;=50,1,IF(P74&gt;50,0))))))))))))))))</f>
        <v>25</v>
      </c>
      <c r="Z74">
        <f>IF(Q74=1,50,IF(Q74=2,25,IF(Q74=3,18,IF(Q74=4,16,IF(Q74=5,14,IF(Q74=6,12,IF(Q74=7,10,IF(Q74=8,9,IF(Q74=10,7,IF(Q74&lt;=15,6,IF(Q74&lt;=20,5,IF(Q74&lt;=25,4,IF(Q74&lt;=30,3,IF(Q74&lt;=40,2,IF(Q74&lt;=50,1,IF(Q74&gt;50,0))))))))))))))))</f>
        <v>5</v>
      </c>
      <c r="AA74">
        <f>IF(R74=1,50,IF(R74=2,25,IF(R74=3,18,IF(R74=4,16,IF(R74=5,14,IF(R74=6,12,IF(R74=7,10,IF(R74=8,9,IF(R74=10,7,IF(R74&lt;=15,6,IF(R74&lt;=20,5,IF(R74&lt;=25,4,IF(R74&lt;=30,3,IF(R74&lt;=40,2,IF(R74&lt;=50,1,IF(R74&gt;50,0))))))))))))))))</f>
        <v>2</v>
      </c>
      <c r="AB74">
        <f>IF(S74=1,50,IF(S74=2,25,IF(S74=3,18,IF(S74=4,16,IF(S74=5,14,IF(S74=6,12,IF(S74=7,10,IF(S74=8,9,IF(S74=10,7,IF(S74&lt;=15,6,IF(S74&lt;=20,5,IF(S74&lt;=25,4,IF(S74&lt;=30,3,IF(S74&lt;=40,2,IF(S74&lt;=50,1,IF(S74&gt;50,0))))))))))))))))</f>
        <v>1</v>
      </c>
      <c r="AC74">
        <f>IF(T74=1,50,IF(T74=2,25,IF(T74=3,18,IF(T74=4,16,IF(T74=5,14,IF(T74=6,12,IF(T74=7,10,IF(T74=8,9,IF(T74=10,7,IF(T74&lt;=15,6,IF(T74&lt;=20,5,IF(T74&lt;=25,4,IF(T74&lt;=30,3,IF(T74&lt;=40,2,IF(T74&lt;=50,1,IF(T74&gt;50,0))))))))))))))))</f>
        <v>0</v>
      </c>
      <c r="AD74">
        <f>C74*0.5</f>
        <v>118.5</v>
      </c>
      <c r="AE74">
        <f>D74*3</f>
        <v>312</v>
      </c>
      <c r="AF74">
        <f>E74*8</f>
        <v>40</v>
      </c>
      <c r="AG74">
        <f>-1*(F74/2)</f>
        <v>-21</v>
      </c>
      <c r="AH74">
        <f>G74*-1</f>
        <v>-7</v>
      </c>
      <c r="AI74">
        <f>H74*13</f>
        <v>0</v>
      </c>
      <c r="AJ74">
        <f>I74*5</f>
        <v>0</v>
      </c>
      <c r="AK74">
        <f>J74*-1</f>
        <v>-1</v>
      </c>
      <c r="AL74">
        <f>SUM(X74:AC74)</f>
        <v>58</v>
      </c>
      <c r="AM74">
        <f>SUM(AD74:AL74)</f>
        <v>499.5</v>
      </c>
      <c r="AN74">
        <f>SUM(C74:G74,J74)</f>
        <v>396</v>
      </c>
      <c r="AO74" s="1">
        <f>AM74/AN74</f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>AM75-U75</f>
        <v>16.5</v>
      </c>
      <c r="X75">
        <f>IF(O75=1,50,IF(O75=2,25,IF(O75=3,18,IF(O75=4,16,IF(O75=5,14,IF(O75=6,12,IF(O75=7,10,IF(O75=8,9,IF(O75=10,7,IF(O75&lt;=15,6,IF(O75&lt;=20,5,IF(O75&lt;=25,4,IF(O75&lt;=30,3,IF(O75&lt;=40,2,IF(O75&lt;=50,1,IF(O75&gt;50,0))))))))))))))))</f>
        <v>12</v>
      </c>
      <c r="Y75">
        <f>IF(P75=1,50,IF(P75=2,25,IF(P75=3,18,IF(P75=4,16,IF(P75=5,14,IF(P75=6,12,IF(P75=7,10,IF(P75=8,9,IF(P75=10,7,IF(P75&lt;=15,6,IF(P75&lt;=20,5,IF(P75&lt;=25,4,IF(P75&lt;=30,3,IF(P75&lt;=40,2,IF(P75&lt;=50,1,IF(P75&gt;50,0))))))))))))))))</f>
        <v>9</v>
      </c>
      <c r="Z75">
        <f>IF(Q75=1,50,IF(Q75=2,25,IF(Q75=3,18,IF(Q75=4,16,IF(Q75=5,14,IF(Q75=6,12,IF(Q75=7,10,IF(Q75=8,9,IF(Q75=10,7,IF(Q75&lt;=15,6,IF(Q75&lt;=20,5,IF(Q75&lt;=25,4,IF(Q75&lt;=30,3,IF(Q75&lt;=40,2,IF(Q75&lt;=50,1,IF(Q75&gt;50,0))))))))))))))))</f>
        <v>0</v>
      </c>
      <c r="AA75">
        <f>IF(R75=1,50,IF(R75=2,25,IF(R75=3,18,IF(R75=4,16,IF(R75=5,14,IF(R75=6,12,IF(R75=7,10,IF(R75=8,9,IF(R75=10,7,IF(R75&lt;=15,6,IF(R75&lt;=20,5,IF(R75&lt;=25,4,IF(R75&lt;=30,3,IF(R75&lt;=40,2,IF(R75&lt;=50,1,IF(R75&gt;50,0))))))))))))))))</f>
        <v>0</v>
      </c>
      <c r="AB75">
        <f>IF(S75=1,50,IF(S75=2,25,IF(S75=3,18,IF(S75=4,16,IF(S75=5,14,IF(S75=6,12,IF(S75=7,10,IF(S75=8,9,IF(S75=10,7,IF(S75&lt;=15,6,IF(S75&lt;=20,5,IF(S75&lt;=25,4,IF(S75&lt;=30,3,IF(S75&lt;=40,2,IF(S75&lt;=50,1,IF(S75&gt;50,0))))))))))))))))</f>
        <v>0</v>
      </c>
      <c r="AC75">
        <f>IF(T75=1,50,IF(T75=2,25,IF(T75=3,18,IF(T75=4,16,IF(T75=5,14,IF(T75=6,12,IF(T75=7,10,IF(T75=8,9,IF(T75=10,7,IF(T75&lt;=15,6,IF(T75&lt;=20,5,IF(T75&lt;=25,4,IF(T75&lt;=30,3,IF(T75&lt;=40,2,IF(T75&lt;=50,1,IF(T75&gt;50,0))))))))))))))))</f>
        <v>0</v>
      </c>
      <c r="AD75">
        <f>C75*0.5</f>
        <v>92.5</v>
      </c>
      <c r="AE75">
        <f>D75*3</f>
        <v>228</v>
      </c>
      <c r="AF75">
        <f>E75*8</f>
        <v>56</v>
      </c>
      <c r="AG75">
        <f>-1*(F75/2)</f>
        <v>-25.5</v>
      </c>
      <c r="AH75">
        <f>G75*-1</f>
        <v>-5</v>
      </c>
      <c r="AI75">
        <f>H75*13</f>
        <v>0</v>
      </c>
      <c r="AJ75">
        <f>I75*5</f>
        <v>0</v>
      </c>
      <c r="AK75">
        <f>J75*-1</f>
        <v>0</v>
      </c>
      <c r="AL75">
        <f>SUM(X75:AC75)</f>
        <v>21</v>
      </c>
      <c r="AM75">
        <f>SUM(AD75:AL75)</f>
        <v>367</v>
      </c>
      <c r="AN75">
        <f>SUM(C75:G75,J75)</f>
        <v>324</v>
      </c>
      <c r="AO75" s="1">
        <f>AM75/AN75</f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>AM76-U76</f>
        <v>-50.5</v>
      </c>
      <c r="X76">
        <f>IF(O76=1,50,IF(O76=2,25,IF(O76=3,18,IF(O76=4,16,IF(O76=5,14,IF(O76=6,12,IF(O76=7,10,IF(O76=8,9,IF(O76=10,7,IF(O76&lt;=15,6,IF(O76&lt;=20,5,IF(O76&lt;=25,4,IF(O76&lt;=30,3,IF(O76&lt;=40,2,IF(O76&lt;=50,1,IF(O76&gt;50,0))))))))))))))))</f>
        <v>3</v>
      </c>
      <c r="Y76">
        <f>IF(P76=1,50,IF(P76=2,25,IF(P76=3,18,IF(P76=4,16,IF(P76=5,14,IF(P76=6,12,IF(P76=7,10,IF(P76=8,9,IF(P76=10,7,IF(P76&lt;=15,6,IF(P76&lt;=20,5,IF(P76&lt;=25,4,IF(P76&lt;=30,3,IF(P76&lt;=40,2,IF(P76&lt;=50,1,IF(P76&gt;50,0))))))))))))))))</f>
        <v>2</v>
      </c>
      <c r="Z76">
        <f>IF(Q76=1,50,IF(Q76=2,25,IF(Q76=3,18,IF(Q76=4,16,IF(Q76=5,14,IF(Q76=6,12,IF(Q76=7,10,IF(Q76=8,9,IF(Q76=10,7,IF(Q76&lt;=15,6,IF(Q76&lt;=20,5,IF(Q76&lt;=25,4,IF(Q76&lt;=30,3,IF(Q76&lt;=40,2,IF(Q76&lt;=50,1,IF(Q76&gt;50,0))))))))))))))))</f>
        <v>0</v>
      </c>
      <c r="AA76">
        <f>IF(R76=1,50,IF(R76=2,25,IF(R76=3,18,IF(R76=4,16,IF(R76=5,14,IF(R76=6,12,IF(R76=7,10,IF(R76=8,9,IF(R76=10,7,IF(R76&lt;=15,6,IF(R76&lt;=20,5,IF(R76&lt;=25,4,IF(R76&lt;=30,3,IF(R76&lt;=40,2,IF(R76&lt;=50,1,IF(R76&gt;50,0))))))))))))))))</f>
        <v>0</v>
      </c>
      <c r="AB76">
        <f>IF(S76=1,50,IF(S76=2,25,IF(S76=3,18,IF(S76=4,16,IF(S76=5,14,IF(S76=6,12,IF(S76=7,10,IF(S76=8,9,IF(S76=10,7,IF(S76&lt;=15,6,IF(S76&lt;=20,5,IF(S76&lt;=25,4,IF(S76&lt;=30,3,IF(S76&lt;=40,2,IF(S76&lt;=50,1,IF(S76&gt;50,0))))))))))))))))</f>
        <v>0</v>
      </c>
      <c r="AC76">
        <f>IF(T76=1,50,IF(T76=2,25,IF(T76=3,18,IF(T76=4,16,IF(T76=5,14,IF(T76=6,12,IF(T76=7,10,IF(T76=8,9,IF(T76=10,7,IF(T76&lt;=15,6,IF(T76&lt;=20,5,IF(T76&lt;=25,4,IF(T76&lt;=30,3,IF(T76&lt;=40,2,IF(T76&lt;=50,1,IF(T76&gt;50,0))))))))))))))))</f>
        <v>0</v>
      </c>
      <c r="AD76">
        <f>C76*0.5</f>
        <v>97.5</v>
      </c>
      <c r="AE76">
        <f>D76*3</f>
        <v>228</v>
      </c>
      <c r="AF76">
        <f>E76*8</f>
        <v>0</v>
      </c>
      <c r="AG76">
        <f>-1*(F76/2)</f>
        <v>-22.5</v>
      </c>
      <c r="AH76">
        <f>G76*-1</f>
        <v>-5</v>
      </c>
      <c r="AI76">
        <f>H76*13</f>
        <v>0</v>
      </c>
      <c r="AJ76">
        <f>I76*5</f>
        <v>0</v>
      </c>
      <c r="AK76">
        <f>J76*-1</f>
        <v>-3</v>
      </c>
      <c r="AL76">
        <f>SUM(X76:AC76)</f>
        <v>5</v>
      </c>
      <c r="AM76">
        <f>SUM(AD76:AL76)</f>
        <v>300</v>
      </c>
      <c r="AN76">
        <f>SUM(C76:G76,J76)</f>
        <v>324</v>
      </c>
      <c r="AO76" s="1">
        <f>AM76/AN76</f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>AM77-U77</f>
        <v>101.5</v>
      </c>
      <c r="X77">
        <f>IF(O77=1,50,IF(O77=2,25,IF(O77=3,18,IF(O77=4,16,IF(O77=5,14,IF(O77=6,12,IF(O77=7,10,IF(O77=8,9,IF(O77=10,7,IF(O77&lt;=15,6,IF(O77&lt;=20,5,IF(O77&lt;=25,4,IF(O77&lt;=30,3,IF(O77&lt;=40,2,IF(O77&lt;=50,1,IF(O77&gt;50,0))))))))))))))))</f>
        <v>50</v>
      </c>
      <c r="Y77">
        <f>IF(P77=1,50,IF(P77=2,25,IF(P77=3,18,IF(P77=4,16,IF(P77=5,14,IF(P77=6,12,IF(P77=7,10,IF(P77=8,9,IF(P77=10,7,IF(P77&lt;=15,6,IF(P77&lt;=20,5,IF(P77&lt;=25,4,IF(P77&lt;=30,3,IF(P77&lt;=40,2,IF(P77&lt;=50,1,IF(P77&gt;50,0))))))))))))))))</f>
        <v>6</v>
      </c>
      <c r="Z77">
        <f>IF(Q77=1,50,IF(Q77=2,25,IF(Q77=3,18,IF(Q77=4,16,IF(Q77=5,14,IF(Q77=6,12,IF(Q77=7,10,IF(Q77=8,9,IF(Q77=10,7,IF(Q77&lt;=15,6,IF(Q77&lt;=20,5,IF(Q77&lt;=25,4,IF(Q77&lt;=30,3,IF(Q77&lt;=40,2,IF(Q77&lt;=50,1,IF(Q77&gt;50,0))))))))))))))))</f>
        <v>3</v>
      </c>
      <c r="AA77">
        <f>IF(R77=1,50,IF(R77=2,25,IF(R77=3,18,IF(R77=4,16,IF(R77=5,14,IF(R77=6,12,IF(R77=7,10,IF(R77=8,9,IF(R77=10,7,IF(R77&lt;=15,6,IF(R77&lt;=20,5,IF(R77&lt;=25,4,IF(R77&lt;=30,3,IF(R77&lt;=40,2,IF(R77&lt;=50,1,IF(R77&gt;50,0))))))))))))))))</f>
        <v>0</v>
      </c>
      <c r="AB77">
        <f>IF(S77=1,50,IF(S77=2,25,IF(S77=3,18,IF(S77=4,16,IF(S77=5,14,IF(S77=6,12,IF(S77=7,10,IF(S77=8,9,IF(S77=10,7,IF(S77&lt;=15,6,IF(S77&lt;=20,5,IF(S77&lt;=25,4,IF(S77&lt;=30,3,IF(S77&lt;=40,2,IF(S77&lt;=50,1,IF(S77&gt;50,0))))))))))))))))</f>
        <v>0</v>
      </c>
      <c r="AC77">
        <f>IF(T77=1,50,IF(T77=2,25,IF(T77=3,18,IF(T77=4,16,IF(T77=5,14,IF(T77=6,12,IF(T77=7,10,IF(T77=8,9,IF(T77=10,7,IF(T77&lt;=15,6,IF(T77&lt;=20,5,IF(T77&lt;=25,4,IF(T77&lt;=30,3,IF(T77&lt;=40,2,IF(T77&lt;=50,1,IF(T77&gt;50,0))))))))))))))))</f>
        <v>0</v>
      </c>
      <c r="AD77">
        <f>C77*0.5</f>
        <v>123.5</v>
      </c>
      <c r="AE77">
        <f>D77*3</f>
        <v>285</v>
      </c>
      <c r="AF77">
        <f>E77*8</f>
        <v>16</v>
      </c>
      <c r="AG77">
        <f>-1*(F77/2)</f>
        <v>-20.5</v>
      </c>
      <c r="AH77">
        <f>G77*-1</f>
        <v>-10</v>
      </c>
      <c r="AI77">
        <f>H77*13</f>
        <v>0</v>
      </c>
      <c r="AJ77">
        <f>I77*5</f>
        <v>0</v>
      </c>
      <c r="AK77">
        <f>J77*-1</f>
        <v>-1</v>
      </c>
      <c r="AL77">
        <f>SUM(X77:AC77)</f>
        <v>59</v>
      </c>
      <c r="AM77">
        <f>SUM(AD77:AL77)</f>
        <v>452</v>
      </c>
      <c r="AN77">
        <f>SUM(C77:G77,J77)</f>
        <v>396</v>
      </c>
      <c r="AO77" s="1">
        <f>AM77/AN77</f>
        <v>1.1414141414141414</v>
      </c>
    </row>
    <row r="78" spans="1:41" x14ac:dyDescent="0.25">
      <c r="A78" t="s">
        <v>30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>AM78-U78</f>
        <v>-16.5</v>
      </c>
      <c r="X78">
        <f>IF(O78=1,50,IF(O78=2,25,IF(O78=3,18,IF(O78=4,16,IF(O78=5,14,IF(O78=6,12,IF(O78=7,10,IF(O78=8,9,IF(O78=10,7,IF(O78&lt;=15,6,IF(O78&lt;=20,5,IF(O78&lt;=25,4,IF(O78&lt;=30,3,IF(O78&lt;=40,2,IF(O78&lt;=50,1,IF(O78&gt;50,0))))))))))))))))</f>
        <v>5</v>
      </c>
      <c r="Y78">
        <f>IF(P78=1,50,IF(P78=2,25,IF(P78=3,18,IF(P78=4,16,IF(P78=5,14,IF(P78=6,12,IF(P78=7,10,IF(P78=8,9,IF(P78=10,7,IF(P78&lt;=15,6,IF(P78&lt;=20,5,IF(P78&lt;=25,4,IF(P78&lt;=30,3,IF(P78&lt;=40,2,IF(P78&lt;=50,1,IF(P78&gt;50,0))))))))))))))))</f>
        <v>1</v>
      </c>
      <c r="Z78">
        <f>IF(Q78=1,50,IF(Q78=2,25,IF(Q78=3,18,IF(Q78=4,16,IF(Q78=5,14,IF(Q78=6,12,IF(Q78=7,10,IF(Q78=8,9,IF(Q78=10,7,IF(Q78&lt;=15,6,IF(Q78&lt;=20,5,IF(Q78&lt;=25,4,IF(Q78&lt;=30,3,IF(Q78&lt;=40,2,IF(Q78&lt;=50,1,IF(Q78&gt;50,0))))))))))))))))</f>
        <v>1</v>
      </c>
      <c r="AA78">
        <f>IF(R78=1,50,IF(R78=2,25,IF(R78=3,18,IF(R78=4,16,IF(R78=5,14,IF(R78=6,12,IF(R78=7,10,IF(R78=8,9,IF(R78=10,7,IF(R78&lt;=15,6,IF(R78&lt;=20,5,IF(R78&lt;=25,4,IF(R78&lt;=30,3,IF(R78&lt;=40,2,IF(R78&lt;=50,1,IF(R78&gt;50,0))))))))))))))))</f>
        <v>0</v>
      </c>
      <c r="AB78">
        <f>IF(S78=1,50,IF(S78=2,25,IF(S78=3,18,IF(S78=4,16,IF(S78=5,14,IF(S78=6,12,IF(S78=7,10,IF(S78=8,9,IF(S78=10,7,IF(S78&lt;=15,6,IF(S78&lt;=20,5,IF(S78&lt;=25,4,IF(S78&lt;=30,3,IF(S78&lt;=40,2,IF(S78&lt;=50,1,IF(S78&gt;50,0))))))))))))))))</f>
        <v>0</v>
      </c>
      <c r="AC78">
        <f>IF(T78=1,50,IF(T78=2,25,IF(T78=3,18,IF(T78=4,16,IF(T78=5,14,IF(T78=6,12,IF(T78=7,10,IF(T78=8,9,IF(T78=10,7,IF(T78&lt;=15,6,IF(T78&lt;=20,5,IF(T78&lt;=25,4,IF(T78&lt;=30,3,IF(T78&lt;=40,2,IF(T78&lt;=50,1,IF(T78&gt;50,0))))))))))))))))</f>
        <v>0</v>
      </c>
      <c r="AD78">
        <f>C78*0.5</f>
        <v>103.5</v>
      </c>
      <c r="AE78">
        <f>D78*3</f>
        <v>261</v>
      </c>
      <c r="AF78">
        <f>E78*8</f>
        <v>0</v>
      </c>
      <c r="AG78">
        <f>-1*(F78/2)</f>
        <v>-28.5</v>
      </c>
      <c r="AH78">
        <f>G78*-1</f>
        <v>-9</v>
      </c>
      <c r="AI78">
        <f>H78*13</f>
        <v>0</v>
      </c>
      <c r="AJ78">
        <f>I78*5</f>
        <v>0</v>
      </c>
      <c r="AK78">
        <f>J78*-1</f>
        <v>0</v>
      </c>
      <c r="AL78">
        <f>SUM(X78:AC78)</f>
        <v>7</v>
      </c>
      <c r="AM78">
        <f>SUM(AD78:AL78)</f>
        <v>334</v>
      </c>
      <c r="AN78">
        <f>SUM(C78:G78,J78)</f>
        <v>360</v>
      </c>
      <c r="AO78" s="1">
        <f>AM78/AN78</f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>AM79-U79</f>
        <v>-83</v>
      </c>
      <c r="X79">
        <f>IF(O79=1,50,IF(O79=2,25,IF(O79=3,18,IF(O79=4,16,IF(O79=5,14,IF(O79=6,12,IF(O79=7,10,IF(O79=8,9,IF(O79=10,7,IF(O79&lt;=15,6,IF(O79&lt;=20,5,IF(O79&lt;=25,4,IF(O79&lt;=30,3,IF(O79&lt;=40,2,IF(O79&lt;=50,1,IF(O79&gt;50,0))))))))))))))))</f>
        <v>25</v>
      </c>
      <c r="Y79">
        <f>IF(P79=1,50,IF(P79=2,25,IF(P79=3,18,IF(P79=4,16,IF(P79=5,14,IF(P79=6,12,IF(P79=7,10,IF(P79=8,9,IF(P79=10,7,IF(P79&lt;=15,6,IF(P79&lt;=20,5,IF(P79&lt;=25,4,IF(P79&lt;=30,3,IF(P79&lt;=40,2,IF(P79&lt;=50,1,IF(P79&gt;50,0))))))))))))))))</f>
        <v>0</v>
      </c>
      <c r="Z79">
        <f>IF(Q79=1,50,IF(Q79=2,25,IF(Q79=3,18,IF(Q79=4,16,IF(Q79=5,14,IF(Q79=6,12,IF(Q79=7,10,IF(Q79=8,9,IF(Q79=10,7,IF(Q79&lt;=15,6,IF(Q79&lt;=20,5,IF(Q79&lt;=25,4,IF(Q79&lt;=30,3,IF(Q79&lt;=40,2,IF(Q79&lt;=50,1,IF(Q79&gt;50,0))))))))))))))))</f>
        <v>0</v>
      </c>
      <c r="AA79">
        <f>IF(R79=1,50,IF(R79=2,25,IF(R79=3,18,IF(R79=4,16,IF(R79=5,14,IF(R79=6,12,IF(R79=7,10,IF(R79=8,9,IF(R79=10,7,IF(R79&lt;=15,6,IF(R79&lt;=20,5,IF(R79&lt;=25,4,IF(R79&lt;=30,3,IF(R79&lt;=40,2,IF(R79&lt;=50,1,IF(R79&gt;50,0))))))))))))))))</f>
        <v>0</v>
      </c>
      <c r="AB79">
        <f>IF(S79=1,50,IF(S79=2,25,IF(S79=3,18,IF(S79=4,16,IF(S79=5,14,IF(S79=6,12,IF(S79=7,10,IF(S79=8,9,IF(S79=10,7,IF(S79&lt;=15,6,IF(S79&lt;=20,5,IF(S79&lt;=25,4,IF(S79&lt;=30,3,IF(S79&lt;=40,2,IF(S79&lt;=50,1,IF(S79&gt;50,0))))))))))))))))</f>
        <v>0</v>
      </c>
      <c r="AC79">
        <f>IF(T79=1,50,IF(T79=2,25,IF(T79=3,18,IF(T79=4,16,IF(T79=5,14,IF(T79=6,12,IF(T79=7,10,IF(T79=8,9,IF(T79=10,7,IF(T79&lt;=15,6,IF(T79&lt;=20,5,IF(T79&lt;=25,4,IF(T79&lt;=30,3,IF(T79&lt;=40,2,IF(T79&lt;=50,1,IF(T79&gt;50,0))))))))))))))))</f>
        <v>0</v>
      </c>
      <c r="AD79">
        <f>C79*0.5</f>
        <v>73.5</v>
      </c>
      <c r="AE79">
        <f>D79*3</f>
        <v>180</v>
      </c>
      <c r="AF79">
        <f>E79*8</f>
        <v>16</v>
      </c>
      <c r="AG79">
        <f>-1*(F79/2)</f>
        <v>-16</v>
      </c>
      <c r="AH79">
        <f>G79*-1</f>
        <v>-9</v>
      </c>
      <c r="AI79">
        <f>H79*13</f>
        <v>0</v>
      </c>
      <c r="AJ79">
        <f>I79*5</f>
        <v>0</v>
      </c>
      <c r="AK79">
        <f>J79*-1</f>
        <v>-2</v>
      </c>
      <c r="AL79">
        <f>SUM(X79:AC79)</f>
        <v>25</v>
      </c>
      <c r="AM79">
        <f>SUM(AD79:AL79)</f>
        <v>267.5</v>
      </c>
      <c r="AN79">
        <f>SUM(C79:G79,J79)</f>
        <v>252</v>
      </c>
      <c r="AO79" s="1">
        <f>AM79/AN79</f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>AM80-U80</f>
        <v>-53.5</v>
      </c>
      <c r="X80">
        <f>IF(O80=1,50,IF(O80=2,25,IF(O80=3,18,IF(O80=4,16,IF(O80=5,14,IF(O80=6,12,IF(O80=7,10,IF(O80=8,9,IF(O80=10,7,IF(O80&lt;=15,6,IF(O80&lt;=20,5,IF(O80&lt;=25,4,IF(O80&lt;=30,3,IF(O80&lt;=40,2,IF(O80&lt;=50,1,IF(O80&gt;50,0))))))))))))))))</f>
        <v>14</v>
      </c>
      <c r="Y80">
        <f>IF(P80=1,50,IF(P80=2,25,IF(P80=3,18,IF(P80=4,16,IF(P80=5,14,IF(P80=6,12,IF(P80=7,10,IF(P80=8,9,IF(P80=10,7,IF(P80&lt;=15,6,IF(P80&lt;=20,5,IF(P80&lt;=25,4,IF(P80&lt;=30,3,IF(P80&lt;=40,2,IF(P80&lt;=50,1,IF(P80&gt;50,0))))))))))))))))</f>
        <v>1</v>
      </c>
      <c r="Z80">
        <f>IF(Q80=1,50,IF(Q80=2,25,IF(Q80=3,18,IF(Q80=4,16,IF(Q80=5,14,IF(Q80=6,12,IF(Q80=7,10,IF(Q80=8,9,IF(Q80=10,7,IF(Q80&lt;=15,6,IF(Q80&lt;=20,5,IF(Q80&lt;=25,4,IF(Q80&lt;=30,3,IF(Q80&lt;=40,2,IF(Q80&lt;=50,1,IF(Q80&gt;50,0))))))))))))))))</f>
        <v>1</v>
      </c>
      <c r="AA80">
        <f>IF(R80=1,50,IF(R80=2,25,IF(R80=3,18,IF(R80=4,16,IF(R80=5,14,IF(R80=6,12,IF(R80=7,10,IF(R80=8,9,IF(R80=10,7,IF(R80&lt;=15,6,IF(R80&lt;=20,5,IF(R80&lt;=25,4,IF(R80&lt;=30,3,IF(R80&lt;=40,2,IF(R80&lt;=50,1,IF(R80&gt;50,0))))))))))))))))</f>
        <v>0</v>
      </c>
      <c r="AB80">
        <f>IF(S80=1,50,IF(S80=2,25,IF(S80=3,18,IF(S80=4,16,IF(S80=5,14,IF(S80=6,12,IF(S80=7,10,IF(S80=8,9,IF(S80=10,7,IF(S80&lt;=15,6,IF(S80&lt;=20,5,IF(S80&lt;=25,4,IF(S80&lt;=30,3,IF(S80&lt;=40,2,IF(S80&lt;=50,1,IF(S80&gt;50,0))))))))))))))))</f>
        <v>0</v>
      </c>
      <c r="AC80">
        <f>IF(T80=1,50,IF(T80=2,25,IF(T80=3,18,IF(T80=4,16,IF(T80=5,14,IF(T80=6,12,IF(T80=7,10,IF(T80=8,9,IF(T80=10,7,IF(T80&lt;=15,6,IF(T80&lt;=20,5,IF(T80&lt;=25,4,IF(T80&lt;=30,3,IF(T80&lt;=40,2,IF(T80&lt;=50,1,IF(T80&gt;50,0))))))))))))))))</f>
        <v>0</v>
      </c>
      <c r="AD80">
        <f>C80*0.5</f>
        <v>79</v>
      </c>
      <c r="AE80">
        <f>D80*3</f>
        <v>225</v>
      </c>
      <c r="AF80">
        <f>E80*8</f>
        <v>8</v>
      </c>
      <c r="AG80">
        <f>-1*(F80/2)</f>
        <v>-23</v>
      </c>
      <c r="AH80">
        <f>G80*-1</f>
        <v>-7</v>
      </c>
      <c r="AI80">
        <f>H80*13</f>
        <v>0</v>
      </c>
      <c r="AJ80">
        <f>I80*5</f>
        <v>0</v>
      </c>
      <c r="AK80">
        <f>J80*-1</f>
        <v>-1</v>
      </c>
      <c r="AL80">
        <f>SUM(X80:AC80)</f>
        <v>16</v>
      </c>
      <c r="AM80">
        <f>SUM(AD80:AL80)</f>
        <v>297</v>
      </c>
      <c r="AN80">
        <f>SUM(C80:G80,J80)</f>
        <v>288</v>
      </c>
      <c r="AO80" s="1">
        <f>AM80/AN80</f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>AM81-U81</f>
        <v>99.5</v>
      </c>
      <c r="X81">
        <f>IF(O81=1,50,IF(O81=2,25,IF(O81=3,18,IF(O81=4,16,IF(O81=5,14,IF(O81=6,12,IF(O81=7,10,IF(O81=8,9,IF(O81=10,7,IF(O81&lt;=15,6,IF(O81&lt;=20,5,IF(O81&lt;=25,4,IF(O81&lt;=30,3,IF(O81&lt;=40,2,IF(O81&lt;=50,1,IF(O81&gt;50,0))))))))))))))))</f>
        <v>12</v>
      </c>
      <c r="Y81">
        <f>IF(P81=1,50,IF(P81=2,25,IF(P81=3,18,IF(P81=4,16,IF(P81=5,14,IF(P81=6,12,IF(P81=7,10,IF(P81=8,9,IF(P81=10,7,IF(P81&lt;=15,6,IF(P81&lt;=20,5,IF(P81&lt;=25,4,IF(P81&lt;=30,3,IF(P81&lt;=40,2,IF(P81&lt;=50,1,IF(P81&gt;50,0))))))))))))))))</f>
        <v>6</v>
      </c>
      <c r="Z81">
        <f>IF(Q81=1,50,IF(Q81=2,25,IF(Q81=3,18,IF(Q81=4,16,IF(Q81=5,14,IF(Q81=6,12,IF(Q81=7,10,IF(Q81=8,9,IF(Q81=10,7,IF(Q81&lt;=15,6,IF(Q81&lt;=20,5,IF(Q81&lt;=25,4,IF(Q81&lt;=30,3,IF(Q81&lt;=40,2,IF(Q81&lt;=50,1,IF(Q81&gt;50,0))))))))))))))))</f>
        <v>5</v>
      </c>
      <c r="AA81">
        <f>IF(R81=1,50,IF(R81=2,25,IF(R81=3,18,IF(R81=4,16,IF(R81=5,14,IF(R81=6,12,IF(R81=7,10,IF(R81=8,9,IF(R81=10,7,IF(R81&lt;=15,6,IF(R81&lt;=20,5,IF(R81&lt;=25,4,IF(R81&lt;=30,3,IF(R81&lt;=40,2,IF(R81&lt;=50,1,IF(R81&gt;50,0))))))))))))))))</f>
        <v>2</v>
      </c>
      <c r="AB81">
        <f>IF(S81=1,50,IF(S81=2,25,IF(S81=3,18,IF(S81=4,16,IF(S81=5,14,IF(S81=6,12,IF(S81=7,10,IF(S81=8,9,IF(S81=10,7,IF(S81&lt;=15,6,IF(S81&lt;=20,5,IF(S81&lt;=25,4,IF(S81&lt;=30,3,IF(S81&lt;=40,2,IF(S81&lt;=50,1,IF(S81&gt;50,0))))))))))))))))</f>
        <v>0</v>
      </c>
      <c r="AC81">
        <f>IF(T81=1,50,IF(T81=2,25,IF(T81=3,18,IF(T81=4,16,IF(T81=5,14,IF(T81=6,12,IF(T81=7,10,IF(T81=8,9,IF(T81=10,7,IF(T81&lt;=15,6,IF(T81&lt;=20,5,IF(T81&lt;=25,4,IF(T81&lt;=30,3,IF(T81&lt;=40,2,IF(T81&lt;=50,1,IF(T81&gt;50,0))))))))))))))))</f>
        <v>0</v>
      </c>
      <c r="AD81">
        <f>C81*0.5</f>
        <v>135.5</v>
      </c>
      <c r="AE81">
        <f>D81*3</f>
        <v>297</v>
      </c>
      <c r="AF81">
        <f>E81*8</f>
        <v>24</v>
      </c>
      <c r="AG81">
        <f>-1*(F81/2)</f>
        <v>-27.5</v>
      </c>
      <c r="AH81">
        <f>G81*-1</f>
        <v>-3</v>
      </c>
      <c r="AI81">
        <f>H81*13</f>
        <v>0</v>
      </c>
      <c r="AJ81">
        <f>I81*5</f>
        <v>0</v>
      </c>
      <c r="AK81">
        <f>J81*-1</f>
        <v>-1</v>
      </c>
      <c r="AL81">
        <f>SUM(X81:AC81)</f>
        <v>25</v>
      </c>
      <c r="AM81">
        <f>SUM(AD81:AL81)</f>
        <v>450</v>
      </c>
      <c r="AN81">
        <f>SUM(C81:G81,J81)</f>
        <v>432</v>
      </c>
      <c r="AO81" s="1">
        <f>AM81/AN81</f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>AM82-U82</f>
        <v>26</v>
      </c>
      <c r="X82">
        <f>IF(O82=1,50,IF(O82=2,25,IF(O82=3,18,IF(O82=4,16,IF(O82=5,14,IF(O82=6,12,IF(O82=7,10,IF(O82=8,9,IF(O82=10,7,IF(O82&lt;=15,6,IF(O82&lt;=20,5,IF(O82&lt;=25,4,IF(O82&lt;=30,3,IF(O82&lt;=40,2,IF(O82&lt;=50,1,IF(O82&gt;50,0))))))))))))))))</f>
        <v>14</v>
      </c>
      <c r="Y82">
        <f>IF(P82=1,50,IF(P82=2,25,IF(P82=3,18,IF(P82=4,16,IF(P82=5,14,IF(P82=6,12,IF(P82=7,10,IF(P82=8,9,IF(P82=10,7,IF(P82&lt;=15,6,IF(P82&lt;=20,5,IF(P82&lt;=25,4,IF(P82&lt;=30,3,IF(P82&lt;=40,2,IF(P82&lt;=50,1,IF(P82&gt;50,0))))))))))))))))</f>
        <v>5</v>
      </c>
      <c r="Z82">
        <f>IF(Q82=1,50,IF(Q82=2,25,IF(Q82=3,18,IF(Q82=4,16,IF(Q82=5,14,IF(Q82=6,12,IF(Q82=7,10,IF(Q82=8,9,IF(Q82=10,7,IF(Q82&lt;=15,6,IF(Q82&lt;=20,5,IF(Q82&lt;=25,4,IF(Q82&lt;=30,3,IF(Q82&lt;=40,2,IF(Q82&lt;=50,1,IF(Q82&gt;50,0))))))))))))))))</f>
        <v>0</v>
      </c>
      <c r="AA82">
        <f>IF(R82=1,50,IF(R82=2,25,IF(R82=3,18,IF(R82=4,16,IF(R82=5,14,IF(R82=6,12,IF(R82=7,10,IF(R82=8,9,IF(R82=10,7,IF(R82&lt;=15,6,IF(R82&lt;=20,5,IF(R82&lt;=25,4,IF(R82&lt;=30,3,IF(R82&lt;=40,2,IF(R82&lt;=50,1,IF(R82&gt;50,0))))))))))))))))</f>
        <v>0</v>
      </c>
      <c r="AB82">
        <f>IF(S82=1,50,IF(S82=2,25,IF(S82=3,18,IF(S82=4,16,IF(S82=5,14,IF(S82=6,12,IF(S82=7,10,IF(S82=8,9,IF(S82=10,7,IF(S82&lt;=15,6,IF(S82&lt;=20,5,IF(S82&lt;=25,4,IF(S82&lt;=30,3,IF(S82&lt;=40,2,IF(S82&lt;=50,1,IF(S82&gt;50,0))))))))))))))))</f>
        <v>0</v>
      </c>
      <c r="AC82">
        <f>IF(T82=1,50,IF(T82=2,25,IF(T82=3,18,IF(T82=4,16,IF(T82=5,14,IF(T82=6,12,IF(T82=7,10,IF(T82=8,9,IF(T82=10,7,IF(T82&lt;=15,6,IF(T82&lt;=20,5,IF(T82&lt;=25,4,IF(T82&lt;=30,3,IF(T82&lt;=40,2,IF(T82&lt;=50,1,IF(T82&gt;50,0))))))))))))))))</f>
        <v>0</v>
      </c>
      <c r="AD82">
        <f>C82*0.5</f>
        <v>87</v>
      </c>
      <c r="AE82">
        <f>D82*3</f>
        <v>189</v>
      </c>
      <c r="AF82">
        <f>E82*8</f>
        <v>8</v>
      </c>
      <c r="AG82">
        <f>-1*(F82/2)</f>
        <v>-21</v>
      </c>
      <c r="AH82">
        <f>G82*-1</f>
        <v>-7</v>
      </c>
      <c r="AI82">
        <f>H82*13</f>
        <v>0</v>
      </c>
      <c r="AJ82">
        <f>I82*5</f>
        <v>0</v>
      </c>
      <c r="AK82">
        <f>J82*-1</f>
        <v>-1</v>
      </c>
      <c r="AL82">
        <f>SUM(X82:AC82)</f>
        <v>19</v>
      </c>
      <c r="AM82">
        <f>SUM(AD82:AL82)</f>
        <v>274</v>
      </c>
      <c r="AN82">
        <f>SUM(C82:G82,J82)</f>
        <v>288</v>
      </c>
      <c r="AO82" s="1">
        <f>AM82/AN82</f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30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>AM83-U83</f>
        <v>-25.5</v>
      </c>
      <c r="X83">
        <f>IF(O83=1,50,IF(O83=2,25,IF(O83=3,18,IF(O83=4,16,IF(O83=5,14,IF(O83=6,12,IF(O83=7,10,IF(O83=8,9,IF(O83=10,7,IF(O83&lt;=15,6,IF(O83&lt;=20,5,IF(O83&lt;=25,4,IF(O83&lt;=30,3,IF(O83&lt;=40,2,IF(O83&lt;=50,1,IF(O83&gt;50,0))))))))))))))))</f>
        <v>25</v>
      </c>
      <c r="Y83">
        <f>IF(P83=1,50,IF(P83=2,25,IF(P83=3,18,IF(P83=4,16,IF(P83=5,14,IF(P83=6,12,IF(P83=7,10,IF(P83=8,9,IF(P83=10,7,IF(P83&lt;=15,6,IF(P83&lt;=20,5,IF(P83&lt;=25,4,IF(P83&lt;=30,3,IF(P83&lt;=40,2,IF(P83&lt;=50,1,IF(P83&gt;50,0))))))))))))))))</f>
        <v>5</v>
      </c>
      <c r="Z83">
        <f>IF(Q83=1,50,IF(Q83=2,25,IF(Q83=3,18,IF(Q83=4,16,IF(Q83=5,14,IF(Q83=6,12,IF(Q83=7,10,IF(Q83=8,9,IF(Q83=10,7,IF(Q83&lt;=15,6,IF(Q83&lt;=20,5,IF(Q83&lt;=25,4,IF(Q83&lt;=30,3,IF(Q83&lt;=40,2,IF(Q83&lt;=50,1,IF(Q83&gt;50,0))))))))))))))))</f>
        <v>0</v>
      </c>
      <c r="AA83">
        <f>IF(R83=1,50,IF(R83=2,25,IF(R83=3,18,IF(R83=4,16,IF(R83=5,14,IF(R83=6,12,IF(R83=7,10,IF(R83=8,9,IF(R83=10,7,IF(R83&lt;=15,6,IF(R83&lt;=20,5,IF(R83&lt;=25,4,IF(R83&lt;=30,3,IF(R83&lt;=40,2,IF(R83&lt;=50,1,IF(R83&gt;50,0))))))))))))))))</f>
        <v>0</v>
      </c>
      <c r="AB83">
        <f>IF(S83=1,50,IF(S83=2,25,IF(S83=3,18,IF(S83=4,16,IF(S83=5,14,IF(S83=6,12,IF(S83=7,10,IF(S83=8,9,IF(S83=10,7,IF(S83&lt;=15,6,IF(S83&lt;=20,5,IF(S83&lt;=25,4,IF(S83&lt;=30,3,IF(S83&lt;=40,2,IF(S83&lt;=50,1,IF(S83&gt;50,0))))))))))))))))</f>
        <v>0</v>
      </c>
      <c r="AC83">
        <f>IF(T83=1,50,IF(T83=2,25,IF(T83=3,18,IF(T83=4,16,IF(T83=5,14,IF(T83=6,12,IF(T83=7,10,IF(T83=8,9,IF(T83=10,7,IF(T83&lt;=15,6,IF(T83&lt;=20,5,IF(T83&lt;=25,4,IF(T83&lt;=30,3,IF(T83&lt;=40,2,IF(T83&lt;=50,1,IF(T83&gt;50,0))))))))))))))))</f>
        <v>0</v>
      </c>
      <c r="AD83">
        <f>C83*0.5</f>
        <v>70</v>
      </c>
      <c r="AE83">
        <f>D83*3</f>
        <v>132</v>
      </c>
      <c r="AF83">
        <f>E83*8</f>
        <v>8</v>
      </c>
      <c r="AG83">
        <f>-1*(F83/2)</f>
        <v>-13.5</v>
      </c>
      <c r="AH83">
        <f>G83*-1</f>
        <v>-4</v>
      </c>
      <c r="AI83">
        <f>H83*13</f>
        <v>0</v>
      </c>
      <c r="AJ83">
        <f>I83*5</f>
        <v>0</v>
      </c>
      <c r="AK83">
        <f>J83*-1</f>
        <v>0</v>
      </c>
      <c r="AL83">
        <f>SUM(X83:AC83)</f>
        <v>30</v>
      </c>
      <c r="AM83">
        <f>SUM(AD83:AL83)</f>
        <v>222.5</v>
      </c>
      <c r="AN83">
        <f>SUM(C83:G83,J83)</f>
        <v>216</v>
      </c>
      <c r="AO83" s="1">
        <f>AM83/AN83</f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>AM84-U84</f>
        <v>-90.5</v>
      </c>
      <c r="X84">
        <f>IF(O84=1,50,IF(O84=2,25,IF(O84=3,18,IF(O84=4,16,IF(O84=5,14,IF(O84=6,12,IF(O84=7,10,IF(O84=8,9,IF(O84=10,7,IF(O84&lt;=15,6,IF(O84&lt;=20,5,IF(O84&lt;=25,4,IF(O84&lt;=30,3,IF(O84&lt;=40,2,IF(O84&lt;=50,1,IF(O84&gt;50,0))))))))))))))))</f>
        <v>0</v>
      </c>
      <c r="Y84">
        <f>IF(P84=1,50,IF(P84=2,25,IF(P84=3,18,IF(P84=4,16,IF(P84=5,14,IF(P84=6,12,IF(P84=7,10,IF(P84=8,9,IF(P84=10,7,IF(P84&lt;=15,6,IF(P84&lt;=20,5,IF(P84&lt;=25,4,IF(P84&lt;=30,3,IF(P84&lt;=40,2,IF(P84&lt;=50,1,IF(P84&gt;50,0))))))))))))))))</f>
        <v>0</v>
      </c>
      <c r="Z84">
        <f>IF(Q84=1,50,IF(Q84=2,25,IF(Q84=3,18,IF(Q84=4,16,IF(Q84=5,14,IF(Q84=6,12,IF(Q84=7,10,IF(Q84=8,9,IF(Q84=10,7,IF(Q84&lt;=15,6,IF(Q84&lt;=20,5,IF(Q84&lt;=25,4,IF(Q84&lt;=30,3,IF(Q84&lt;=40,2,IF(Q84&lt;=50,1,IF(Q84&gt;50,0))))))))))))))))</f>
        <v>0</v>
      </c>
      <c r="AA84">
        <f>IF(R84=1,50,IF(R84=2,25,IF(R84=3,18,IF(R84=4,16,IF(R84=5,14,IF(R84=6,12,IF(R84=7,10,IF(R84=8,9,IF(R84=10,7,IF(R84&lt;=15,6,IF(R84&lt;=20,5,IF(R84&lt;=25,4,IF(R84&lt;=30,3,IF(R84&lt;=40,2,IF(R84&lt;=50,1,IF(R84&gt;50,0))))))))))))))))</f>
        <v>0</v>
      </c>
      <c r="AB84">
        <f>IF(S84=1,50,IF(S84=2,25,IF(S84=3,18,IF(S84=4,16,IF(S84=5,14,IF(S84=6,12,IF(S84=7,10,IF(S84=8,9,IF(S84=10,7,IF(S84&lt;=15,6,IF(S84&lt;=20,5,IF(S84&lt;=25,4,IF(S84&lt;=30,3,IF(S84&lt;=40,2,IF(S84&lt;=50,1,IF(S84&gt;50,0))))))))))))))))</f>
        <v>0</v>
      </c>
      <c r="AC84">
        <f>IF(T84=1,50,IF(T84=2,25,IF(T84=3,18,IF(T84=4,16,IF(T84=5,14,IF(T84=6,12,IF(T84=7,10,IF(T84=8,9,IF(T84=10,7,IF(T84&lt;=15,6,IF(T84&lt;=20,5,IF(T84&lt;=25,4,IF(T84&lt;=30,3,IF(T84&lt;=40,2,IF(T84&lt;=50,1,IF(T84&gt;50,0))))))))))))))))</f>
        <v>0</v>
      </c>
      <c r="AD84">
        <f>C84*0.5</f>
        <v>82.5</v>
      </c>
      <c r="AE84">
        <f>D84*3</f>
        <v>105</v>
      </c>
      <c r="AF84">
        <f>E84*8</f>
        <v>0</v>
      </c>
      <c r="AG84">
        <f>-1*(F84/2)</f>
        <v>-22</v>
      </c>
      <c r="AH84">
        <f>G84*-1</f>
        <v>-7</v>
      </c>
      <c r="AI84">
        <f>H84*13</f>
        <v>0</v>
      </c>
      <c r="AJ84">
        <f>I84*5</f>
        <v>0</v>
      </c>
      <c r="AK84">
        <f>J84*-1</f>
        <v>-1</v>
      </c>
      <c r="AL84">
        <f>SUM(X84:AC84)</f>
        <v>0</v>
      </c>
      <c r="AM84">
        <f>SUM(AD84:AL84)</f>
        <v>157.5</v>
      </c>
      <c r="AN84">
        <f>SUM(C84:G84,J84)</f>
        <v>252</v>
      </c>
      <c r="AO84" s="1">
        <f>AM84/AN84</f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>AM85-U85</f>
        <v>136</v>
      </c>
      <c r="X85">
        <f>IF(O85=1,50,IF(O85=2,25,IF(O85=3,18,IF(O85=4,16,IF(O85=5,14,IF(O85=6,12,IF(O85=7,10,IF(O85=8,9,IF(O85=10,7,IF(O85&lt;=15,6,IF(O85&lt;=20,5,IF(O85&lt;=25,4,IF(O85&lt;=30,3,IF(O85&lt;=40,2,IF(O85&lt;=50,1,IF(O85&gt;50,0))))))))))))))))</f>
        <v>6</v>
      </c>
      <c r="Y85">
        <f>IF(P85=1,50,IF(P85=2,25,IF(P85=3,18,IF(P85=4,16,IF(P85=5,14,IF(P85=6,12,IF(P85=7,10,IF(P85=8,9,IF(P85=10,7,IF(P85&lt;=15,6,IF(P85&lt;=20,5,IF(P85&lt;=25,4,IF(P85&lt;=30,3,IF(P85&lt;=40,2,IF(P85&lt;=50,1,IF(P85&gt;50,0))))))))))))))))</f>
        <v>6</v>
      </c>
      <c r="Z85">
        <f>IF(Q85=1,50,IF(Q85=2,25,IF(Q85=3,18,IF(Q85=4,16,IF(Q85=5,14,IF(Q85=6,12,IF(Q85=7,10,IF(Q85=8,9,IF(Q85=10,7,IF(Q85&lt;=15,6,IF(Q85&lt;=20,5,IF(Q85&lt;=25,4,IF(Q85&lt;=30,3,IF(Q85&lt;=40,2,IF(Q85&lt;=50,1,IF(Q85&gt;50,0))))))))))))))))</f>
        <v>5</v>
      </c>
      <c r="AA85">
        <f>IF(R85=1,50,IF(R85=2,25,IF(R85=3,18,IF(R85=4,16,IF(R85=5,14,IF(R85=6,12,IF(R85=7,10,IF(R85=8,9,IF(R85=10,7,IF(R85&lt;=15,6,IF(R85&lt;=20,5,IF(R85&lt;=25,4,IF(R85&lt;=30,3,IF(R85&lt;=40,2,IF(R85&lt;=50,1,IF(R85&gt;50,0))))))))))))))))</f>
        <v>2</v>
      </c>
      <c r="AB85">
        <f>IF(S85=1,50,IF(S85=2,25,IF(S85=3,18,IF(S85=4,16,IF(S85=5,14,IF(S85=6,12,IF(S85=7,10,IF(S85=8,9,IF(S85=10,7,IF(S85&lt;=15,6,IF(S85&lt;=20,5,IF(S85&lt;=25,4,IF(S85&lt;=30,3,IF(S85&lt;=40,2,IF(S85&lt;=50,1,IF(S85&gt;50,0))))))))))))))))</f>
        <v>0</v>
      </c>
      <c r="AC85">
        <f>IF(T85=1,50,IF(T85=2,25,IF(T85=3,18,IF(T85=4,16,IF(T85=5,14,IF(T85=6,12,IF(T85=7,10,IF(T85=8,9,IF(T85=10,7,IF(T85&lt;=15,6,IF(T85&lt;=20,5,IF(T85&lt;=25,4,IF(T85&lt;=30,3,IF(T85&lt;=40,2,IF(T85&lt;=50,1,IF(T85&gt;50,0))))))))))))))))</f>
        <v>0</v>
      </c>
      <c r="AD85">
        <f>C85*0.5</f>
        <v>139</v>
      </c>
      <c r="AE85">
        <f>D85*3</f>
        <v>246</v>
      </c>
      <c r="AF85">
        <f>E85*8</f>
        <v>16</v>
      </c>
      <c r="AG85">
        <f>-1*(F85/2)</f>
        <v>-34</v>
      </c>
      <c r="AH85">
        <f>G85*-1</f>
        <v>-2</v>
      </c>
      <c r="AI85">
        <f>H85*13</f>
        <v>0</v>
      </c>
      <c r="AJ85">
        <f>I85*5</f>
        <v>0</v>
      </c>
      <c r="AK85">
        <f>J85*-1</f>
        <v>0</v>
      </c>
      <c r="AL85">
        <f>SUM(X85:AC85)</f>
        <v>19</v>
      </c>
      <c r="AM85">
        <f>SUM(AD85:AL85)</f>
        <v>384</v>
      </c>
      <c r="AN85">
        <f>SUM(C85:G85,J85)</f>
        <v>432</v>
      </c>
      <c r="AO85" s="1">
        <f>AM85/AN85</f>
        <v>0.88888888888888884</v>
      </c>
    </row>
    <row r="86" spans="1:41" x14ac:dyDescent="0.25">
      <c r="A86" t="s">
        <v>30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>AM86-U86</f>
        <v>134.5</v>
      </c>
      <c r="X86">
        <f>IF(O86=1,50,IF(O86=2,25,IF(O86=3,18,IF(O86=4,16,IF(O86=5,14,IF(O86=6,12,IF(O86=7,10,IF(O86=8,9,IF(O86=10,7,IF(O86&lt;=15,6,IF(O86&lt;=20,5,IF(O86&lt;=25,4,IF(O86&lt;=30,3,IF(O86&lt;=40,2,IF(O86&lt;=50,1,IF(O86&gt;50,0))))))))))))))))</f>
        <v>18</v>
      </c>
      <c r="Y86">
        <f>IF(P86=1,50,IF(P86=2,25,IF(P86=3,18,IF(P86=4,16,IF(P86=5,14,IF(P86=6,12,IF(P86=7,10,IF(P86=8,9,IF(P86=10,7,IF(P86&lt;=15,6,IF(P86&lt;=20,5,IF(P86&lt;=25,4,IF(P86&lt;=30,3,IF(P86&lt;=40,2,IF(P86&lt;=50,1,IF(P86&gt;50,0))))))))))))))))</f>
        <v>14</v>
      </c>
      <c r="Z86">
        <f>IF(Q86=1,50,IF(Q86=2,25,IF(Q86=3,18,IF(Q86=4,16,IF(Q86=5,14,IF(Q86=6,12,IF(Q86=7,10,IF(Q86=8,9,IF(Q86=10,7,IF(Q86&lt;=15,6,IF(Q86&lt;=20,5,IF(Q86&lt;=25,4,IF(Q86&lt;=30,3,IF(Q86&lt;=40,2,IF(Q86&lt;=50,1,IF(Q86&gt;50,0))))))))))))))))</f>
        <v>6</v>
      </c>
      <c r="AA86">
        <f>IF(R86=1,50,IF(R86=2,25,IF(R86=3,18,IF(R86=4,16,IF(R86=5,14,IF(R86=6,12,IF(R86=7,10,IF(R86=8,9,IF(R86=10,7,IF(R86&lt;=15,6,IF(R86&lt;=20,5,IF(R86&lt;=25,4,IF(R86&lt;=30,3,IF(R86&lt;=40,2,IF(R86&lt;=50,1,IF(R86&gt;50,0))))))))))))))))</f>
        <v>2</v>
      </c>
      <c r="AB86">
        <f>IF(S86=1,50,IF(S86=2,25,IF(S86=3,18,IF(S86=4,16,IF(S86=5,14,IF(S86=6,12,IF(S86=7,10,IF(S86=8,9,IF(S86=10,7,IF(S86&lt;=15,6,IF(S86&lt;=20,5,IF(S86&lt;=25,4,IF(S86&lt;=30,3,IF(S86&lt;=40,2,IF(S86&lt;=50,1,IF(S86&gt;50,0))))))))))))))))</f>
        <v>0</v>
      </c>
      <c r="AC86">
        <f>IF(T86=1,50,IF(T86=2,25,IF(T86=3,18,IF(T86=4,16,IF(T86=5,14,IF(T86=6,12,IF(T86=7,10,IF(T86=8,9,IF(T86=10,7,IF(T86&lt;=15,6,IF(T86&lt;=20,5,IF(T86&lt;=25,4,IF(T86&lt;=30,3,IF(T86&lt;=40,2,IF(T86&lt;=50,1,IF(T86&gt;50,0))))))))))))))))</f>
        <v>0</v>
      </c>
      <c r="AD86">
        <f>C86*0.5</f>
        <v>131</v>
      </c>
      <c r="AE86">
        <f>D86*3</f>
        <v>219</v>
      </c>
      <c r="AF86">
        <f>E86*8</f>
        <v>24</v>
      </c>
      <c r="AG86">
        <f>-1*(F86/2)</f>
        <v>-26.5</v>
      </c>
      <c r="AH86">
        <f>G86*-1</f>
        <v>-5</v>
      </c>
      <c r="AI86">
        <f>H86*13</f>
        <v>0</v>
      </c>
      <c r="AJ86">
        <f>I86*5</f>
        <v>0</v>
      </c>
      <c r="AK86">
        <f>J86*-1</f>
        <v>0</v>
      </c>
      <c r="AL86">
        <f>SUM(X86:AC86)</f>
        <v>40</v>
      </c>
      <c r="AM86">
        <f>SUM(AD86:AL86)</f>
        <v>382.5</v>
      </c>
      <c r="AN86">
        <f>SUM(C86:G86,J86)</f>
        <v>396</v>
      </c>
      <c r="AO86" s="1">
        <f>AM86/AN86</f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>AM87-U87</f>
        <v>81</v>
      </c>
      <c r="X87">
        <f>IF(O87=1,50,IF(O87=2,25,IF(O87=3,18,IF(O87=4,16,IF(O87=5,14,IF(O87=6,12,IF(O87=7,10,IF(O87=8,9,IF(O87=10,7,IF(O87&lt;=15,6,IF(O87&lt;=20,5,IF(O87&lt;=25,4,IF(O87&lt;=30,3,IF(O87&lt;=40,2,IF(O87&lt;=50,1,IF(O87&gt;50,0))))))))))))))))</f>
        <v>5</v>
      </c>
      <c r="Y87">
        <f>IF(P87=1,50,IF(P87=2,25,IF(P87=3,18,IF(P87=4,16,IF(P87=5,14,IF(P87=6,12,IF(P87=7,10,IF(P87=8,9,IF(P87=10,7,IF(P87&lt;=15,6,IF(P87&lt;=20,5,IF(P87&lt;=25,4,IF(P87&lt;=30,3,IF(P87&lt;=40,2,IF(P87&lt;=50,1,IF(P87&gt;50,0))))))))))))))))</f>
        <v>2</v>
      </c>
      <c r="Z87">
        <f>IF(Q87=1,50,IF(Q87=2,25,IF(Q87=3,18,IF(Q87=4,16,IF(Q87=5,14,IF(Q87=6,12,IF(Q87=7,10,IF(Q87=8,9,IF(Q87=10,7,IF(Q87&lt;=15,6,IF(Q87&lt;=20,5,IF(Q87&lt;=25,4,IF(Q87&lt;=30,3,IF(Q87&lt;=40,2,IF(Q87&lt;=50,1,IF(Q87&gt;50,0))))))))))))))))</f>
        <v>2</v>
      </c>
      <c r="AA87">
        <f>IF(R87=1,50,IF(R87=2,25,IF(R87=3,18,IF(R87=4,16,IF(R87=5,14,IF(R87=6,12,IF(R87=7,10,IF(R87=8,9,IF(R87=10,7,IF(R87&lt;=15,6,IF(R87&lt;=20,5,IF(R87&lt;=25,4,IF(R87&lt;=30,3,IF(R87&lt;=40,2,IF(R87&lt;=50,1,IF(R87&gt;50,0))))))))))))))))</f>
        <v>2</v>
      </c>
      <c r="AB87">
        <f>IF(S87=1,50,IF(S87=2,25,IF(S87=3,18,IF(S87=4,16,IF(S87=5,14,IF(S87=6,12,IF(S87=7,10,IF(S87=8,9,IF(S87=10,7,IF(S87&lt;=15,6,IF(S87&lt;=20,5,IF(S87&lt;=25,4,IF(S87&lt;=30,3,IF(S87&lt;=40,2,IF(S87&lt;=50,1,IF(S87&gt;50,0))))))))))))))))</f>
        <v>0</v>
      </c>
      <c r="AC87">
        <f>IF(T87=1,50,IF(T87=2,25,IF(T87=3,18,IF(T87=4,16,IF(T87=5,14,IF(T87=6,12,IF(T87=7,10,IF(T87=8,9,IF(T87=10,7,IF(T87&lt;=15,6,IF(T87&lt;=20,5,IF(T87&lt;=25,4,IF(T87&lt;=30,3,IF(T87&lt;=40,2,IF(T87&lt;=50,1,IF(T87&gt;50,0))))))))))))))))</f>
        <v>0</v>
      </c>
      <c r="AD87">
        <f>C87*0.5</f>
        <v>128</v>
      </c>
      <c r="AE87">
        <f>D87*3</f>
        <v>210</v>
      </c>
      <c r="AF87">
        <f>E87*8</f>
        <v>16</v>
      </c>
      <c r="AG87">
        <f>-1*(F87/2)</f>
        <v>-32</v>
      </c>
      <c r="AH87">
        <f>G87*-1</f>
        <v>-4</v>
      </c>
      <c r="AI87">
        <f>H87*13</f>
        <v>0</v>
      </c>
      <c r="AJ87">
        <f>I87*5</f>
        <v>0</v>
      </c>
      <c r="AK87">
        <f>J87*-1</f>
        <v>0</v>
      </c>
      <c r="AL87">
        <f>SUM(X87:AC87)</f>
        <v>11</v>
      </c>
      <c r="AM87">
        <f>SUM(AD87:AL87)</f>
        <v>329</v>
      </c>
      <c r="AN87">
        <f>SUM(C87:G87,J87)</f>
        <v>396</v>
      </c>
      <c r="AO87" s="1">
        <f>AM87/AN87</f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>AM88-U88</f>
        <v>39</v>
      </c>
      <c r="X88">
        <f>IF(O88=1,50,IF(O88=2,25,IF(O88=3,18,IF(O88=4,16,IF(O88=5,14,IF(O88=6,12,IF(O88=7,10,IF(O88=8,9,IF(O88=10,7,IF(O88&lt;=15,6,IF(O88&lt;=20,5,IF(O88&lt;=25,4,IF(O88&lt;=30,3,IF(O88&lt;=40,2,IF(O88&lt;=50,1,IF(O88&gt;50,0))))))))))))))))</f>
        <v>14</v>
      </c>
      <c r="Y88">
        <f>IF(P88=1,50,IF(P88=2,25,IF(P88=3,18,IF(P88=4,16,IF(P88=5,14,IF(P88=6,12,IF(P88=7,10,IF(P88=8,9,IF(P88=10,7,IF(P88&lt;=15,6,IF(P88&lt;=20,5,IF(P88&lt;=25,4,IF(P88&lt;=30,3,IF(P88&lt;=40,2,IF(P88&lt;=50,1,IF(P88&gt;50,0))))))))))))))))</f>
        <v>2</v>
      </c>
      <c r="Z88">
        <f>IF(Q88=1,50,IF(Q88=2,25,IF(Q88=3,18,IF(Q88=4,16,IF(Q88=5,14,IF(Q88=6,12,IF(Q88=7,10,IF(Q88=8,9,IF(Q88=10,7,IF(Q88&lt;=15,6,IF(Q88&lt;=20,5,IF(Q88&lt;=25,4,IF(Q88&lt;=30,3,IF(Q88&lt;=40,2,IF(Q88&lt;=50,1,IF(Q88&gt;50,0))))))))))))))))</f>
        <v>1</v>
      </c>
      <c r="AA88">
        <f>IF(R88=1,50,IF(R88=2,25,IF(R88=3,18,IF(R88=4,16,IF(R88=5,14,IF(R88=6,12,IF(R88=7,10,IF(R88=8,9,IF(R88=10,7,IF(R88&lt;=15,6,IF(R88&lt;=20,5,IF(R88&lt;=25,4,IF(R88&lt;=30,3,IF(R88&lt;=40,2,IF(R88&lt;=50,1,IF(R88&gt;50,0))))))))))))))))</f>
        <v>0</v>
      </c>
      <c r="AB88">
        <f>IF(S88=1,50,IF(S88=2,25,IF(S88=3,18,IF(S88=4,16,IF(S88=5,14,IF(S88=6,12,IF(S88=7,10,IF(S88=8,9,IF(S88=10,7,IF(S88&lt;=15,6,IF(S88&lt;=20,5,IF(S88&lt;=25,4,IF(S88&lt;=30,3,IF(S88&lt;=40,2,IF(S88&lt;=50,1,IF(S88&gt;50,0))))))))))))))))</f>
        <v>0</v>
      </c>
      <c r="AC88">
        <f>IF(T88=1,50,IF(T88=2,25,IF(T88=3,18,IF(T88=4,16,IF(T88=5,14,IF(T88=6,12,IF(T88=7,10,IF(T88=8,9,IF(T88=10,7,IF(T88&lt;=15,6,IF(T88&lt;=20,5,IF(T88&lt;=25,4,IF(T88&lt;=30,3,IF(T88&lt;=40,2,IF(T88&lt;=50,1,IF(T88&gt;50,0))))))))))))))))</f>
        <v>0</v>
      </c>
      <c r="AD88">
        <f>C88*0.5</f>
        <v>99.5</v>
      </c>
      <c r="AE88">
        <f>D88*3</f>
        <v>201</v>
      </c>
      <c r="AF88">
        <f>E88*8</f>
        <v>0</v>
      </c>
      <c r="AG88">
        <f>-1*(F88/2)</f>
        <v>-27.5</v>
      </c>
      <c r="AH88">
        <f>G88*-1</f>
        <v>-3</v>
      </c>
      <c r="AI88">
        <f>H88*13</f>
        <v>0</v>
      </c>
      <c r="AJ88">
        <f>I88*5</f>
        <v>0</v>
      </c>
      <c r="AK88">
        <f>J88*-1</f>
        <v>0</v>
      </c>
      <c r="AL88">
        <f>SUM(X88:AC88)</f>
        <v>17</v>
      </c>
      <c r="AM88">
        <f>SUM(AD88:AL88)</f>
        <v>287</v>
      </c>
      <c r="AN88">
        <f>SUM(C88:G88,J88)</f>
        <v>324</v>
      </c>
      <c r="AO88" s="1">
        <f>AM88/AN88</f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>AM89-U89</f>
        <v>-113</v>
      </c>
      <c r="X89">
        <f>IF(O89=1,50,IF(O89=2,25,IF(O89=3,18,IF(O89=4,16,IF(O89=5,14,IF(O89=6,12,IF(O89=7,10,IF(O89=8,9,IF(O89=10,7,IF(O89&lt;=15,6,IF(O89&lt;=20,5,IF(O89&lt;=25,4,IF(O89&lt;=30,3,IF(O89&lt;=40,2,IF(O89&lt;=50,1,IF(O89&gt;50,0))))))))))))))))</f>
        <v>3</v>
      </c>
      <c r="Y89">
        <f>IF(P89=1,50,IF(P89=2,25,IF(P89=3,18,IF(P89=4,16,IF(P89=5,14,IF(P89=6,12,IF(P89=7,10,IF(P89=8,9,IF(P89=10,7,IF(P89&lt;=15,6,IF(P89&lt;=20,5,IF(P89&lt;=25,4,IF(P89&lt;=30,3,IF(P89&lt;=40,2,IF(P89&lt;=50,1,IF(P89&gt;50,0))))))))))))))))</f>
        <v>0</v>
      </c>
      <c r="Z89">
        <f>IF(Q89=1,50,IF(Q89=2,25,IF(Q89=3,18,IF(Q89=4,16,IF(Q89=5,14,IF(Q89=6,12,IF(Q89=7,10,IF(Q89=8,9,IF(Q89=10,7,IF(Q89&lt;=15,6,IF(Q89&lt;=20,5,IF(Q89&lt;=25,4,IF(Q89&lt;=30,3,IF(Q89&lt;=40,2,IF(Q89&lt;=50,1,IF(Q89&gt;50,0))))))))))))))))</f>
        <v>0</v>
      </c>
      <c r="AA89">
        <f>IF(R89=1,50,IF(R89=2,25,IF(R89=3,18,IF(R89=4,16,IF(R89=5,14,IF(R89=6,12,IF(R89=7,10,IF(R89=8,9,IF(R89=10,7,IF(R89&lt;=15,6,IF(R89&lt;=20,5,IF(R89&lt;=25,4,IF(R89&lt;=30,3,IF(R89&lt;=40,2,IF(R89&lt;=50,1,IF(R89&gt;50,0))))))))))))))))</f>
        <v>0</v>
      </c>
      <c r="AB89">
        <f>IF(S89=1,50,IF(S89=2,25,IF(S89=3,18,IF(S89=4,16,IF(S89=5,14,IF(S89=6,12,IF(S89=7,10,IF(S89=8,9,IF(S89=10,7,IF(S89&lt;=15,6,IF(S89&lt;=20,5,IF(S89&lt;=25,4,IF(S89&lt;=30,3,IF(S89&lt;=40,2,IF(S89&lt;=50,1,IF(S89&gt;50,0))))))))))))))))</f>
        <v>0</v>
      </c>
      <c r="AC89">
        <f>IF(T89=1,50,IF(T89=2,25,IF(T89=3,18,IF(T89=4,16,IF(T89=5,14,IF(T89=6,12,IF(T89=7,10,IF(T89=8,9,IF(T89=10,7,IF(T89&lt;=15,6,IF(T89&lt;=20,5,IF(T89&lt;=25,4,IF(T89&lt;=30,3,IF(T89&lt;=40,2,IF(T89&lt;=50,1,IF(T89&gt;50,0))))))))))))))))</f>
        <v>0</v>
      </c>
      <c r="AD89">
        <f>C89*0.5</f>
        <v>55.5</v>
      </c>
      <c r="AE89">
        <f>D89*3</f>
        <v>96</v>
      </c>
      <c r="AF89">
        <f>E89*8</f>
        <v>0</v>
      </c>
      <c r="AG89">
        <f>-1*(F89/2)</f>
        <v>-17.5</v>
      </c>
      <c r="AH89">
        <f>G89*-1</f>
        <v>-2</v>
      </c>
      <c r="AI89">
        <f>H89*13</f>
        <v>0</v>
      </c>
      <c r="AJ89">
        <f>I89*5</f>
        <v>0</v>
      </c>
      <c r="AK89">
        <f>J89*-1</f>
        <v>0</v>
      </c>
      <c r="AL89">
        <f>SUM(X89:AC89)</f>
        <v>3</v>
      </c>
      <c r="AM89">
        <f>SUM(AD89:AL89)</f>
        <v>135</v>
      </c>
      <c r="AN89">
        <f>SUM(C89:G89,J89)</f>
        <v>180</v>
      </c>
      <c r="AO89" s="1">
        <f>AM89/AN89</f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>AM90-U90</f>
        <v>-35.5</v>
      </c>
      <c r="X90">
        <f>IF(O90=1,50,IF(O90=2,25,IF(O90=3,18,IF(O90=4,16,IF(O90=5,14,IF(O90=6,12,IF(O90=7,10,IF(O90=8,9,IF(O90=10,7,IF(O90&lt;=15,6,IF(O90&lt;=20,5,IF(O90&lt;=25,4,IF(O90&lt;=30,3,IF(O90&lt;=40,2,IF(O90&lt;=50,1,IF(O90&gt;50,0))))))))))))))))</f>
        <v>25</v>
      </c>
      <c r="Y90">
        <f>IF(P90=1,50,IF(P90=2,25,IF(P90=3,18,IF(P90=4,16,IF(P90=5,14,IF(P90=6,12,IF(P90=7,10,IF(P90=8,9,IF(P90=10,7,IF(P90&lt;=15,6,IF(P90&lt;=20,5,IF(P90&lt;=25,4,IF(P90&lt;=30,3,IF(P90&lt;=40,2,IF(P90&lt;=50,1,IF(P90&gt;50,0))))))))))))))))</f>
        <v>10</v>
      </c>
      <c r="Z90">
        <f>IF(Q90=1,50,IF(Q90=2,25,IF(Q90=3,18,IF(Q90=4,16,IF(Q90=5,14,IF(Q90=6,12,IF(Q90=7,10,IF(Q90=8,9,IF(Q90=10,7,IF(Q90&lt;=15,6,IF(Q90&lt;=20,5,IF(Q90&lt;=25,4,IF(Q90&lt;=30,3,IF(Q90&lt;=40,2,IF(Q90&lt;=50,1,IF(Q90&gt;50,0))))))))))))))))</f>
        <v>1</v>
      </c>
      <c r="AA90">
        <f>IF(R90=1,50,IF(R90=2,25,IF(R90=3,18,IF(R90=4,16,IF(R90=5,14,IF(R90=6,12,IF(R90=7,10,IF(R90=8,9,IF(R90=10,7,IF(R90&lt;=15,6,IF(R90&lt;=20,5,IF(R90&lt;=25,4,IF(R90&lt;=30,3,IF(R90&lt;=40,2,IF(R90&lt;=50,1,IF(R90&gt;50,0))))))))))))))))</f>
        <v>0</v>
      </c>
      <c r="AB90">
        <f>IF(S90=1,50,IF(S90=2,25,IF(S90=3,18,IF(S90=4,16,IF(S90=5,14,IF(S90=6,12,IF(S90=7,10,IF(S90=8,9,IF(S90=10,7,IF(S90&lt;=15,6,IF(S90&lt;=20,5,IF(S90&lt;=25,4,IF(S90&lt;=30,3,IF(S90&lt;=40,2,IF(S90&lt;=50,1,IF(S90&gt;50,0))))))))))))))))</f>
        <v>0</v>
      </c>
      <c r="AC90">
        <f>IF(T90=1,50,IF(T90=2,25,IF(T90=3,18,IF(T90=4,16,IF(T90=5,14,IF(T90=6,12,IF(T90=7,10,IF(T90=8,9,IF(T90=10,7,IF(T90&lt;=15,6,IF(T90&lt;=20,5,IF(T90&lt;=25,4,IF(T90&lt;=30,3,IF(T90&lt;=40,2,IF(T90&lt;=50,1,IF(T90&gt;50,0))))))))))))))))</f>
        <v>0</v>
      </c>
      <c r="AD90">
        <f>C90*0.5</f>
        <v>117</v>
      </c>
      <c r="AE90">
        <f>D90*3</f>
        <v>165</v>
      </c>
      <c r="AF90">
        <f>E90*8</f>
        <v>0</v>
      </c>
      <c r="AG90">
        <f>-1*(F90/2)</f>
        <v>-15.5</v>
      </c>
      <c r="AH90">
        <f>G90*-1</f>
        <v>-4</v>
      </c>
      <c r="AI90">
        <f>H90*13</f>
        <v>0</v>
      </c>
      <c r="AJ90">
        <f>I90*5</f>
        <v>0</v>
      </c>
      <c r="AK90">
        <f>J90*-1</f>
        <v>0</v>
      </c>
      <c r="AL90">
        <f>SUM(X90:AC90)</f>
        <v>36</v>
      </c>
      <c r="AM90">
        <f>SUM(AD90:AL90)</f>
        <v>298.5</v>
      </c>
      <c r="AN90">
        <f>SUM(C90:G90,J90)</f>
        <v>324</v>
      </c>
      <c r="AO90" s="1">
        <f>AM90/AN90</f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>AM91-U91</f>
        <v>11.5</v>
      </c>
      <c r="X91">
        <f>IF(O91=1,50,IF(O91=2,25,IF(O91=3,18,IF(O91=4,16,IF(O91=5,14,IF(O91=6,12,IF(O91=7,10,IF(O91=8,9,IF(O91=10,7,IF(O91&lt;=15,6,IF(O91&lt;=20,5,IF(O91&lt;=25,4,IF(O91&lt;=30,3,IF(O91&lt;=40,2,IF(O91&lt;=50,1,IF(O91&gt;50,0))))))))))))))))</f>
        <v>25</v>
      </c>
      <c r="Y91">
        <f>IF(P91=1,50,IF(P91=2,25,IF(P91=3,18,IF(P91=4,16,IF(P91=5,14,IF(P91=6,12,IF(P91=7,10,IF(P91=8,9,IF(P91=10,7,IF(P91&lt;=15,6,IF(P91&lt;=20,5,IF(P91&lt;=25,4,IF(P91&lt;=30,3,IF(P91&lt;=40,2,IF(P91&lt;=50,1,IF(P91&gt;50,0))))))))))))))))</f>
        <v>6</v>
      </c>
      <c r="Z91">
        <f>IF(Q91=1,50,IF(Q91=2,25,IF(Q91=3,18,IF(Q91=4,16,IF(Q91=5,14,IF(Q91=6,12,IF(Q91=7,10,IF(Q91=8,9,IF(Q91=10,7,IF(Q91&lt;=15,6,IF(Q91&lt;=20,5,IF(Q91&lt;=25,4,IF(Q91&lt;=30,3,IF(Q91&lt;=40,2,IF(Q91&lt;=50,1,IF(Q91&gt;50,0))))))))))))))))</f>
        <v>5</v>
      </c>
      <c r="AA91">
        <f>IF(R91=1,50,IF(R91=2,25,IF(R91=3,18,IF(R91=4,16,IF(R91=5,14,IF(R91=6,12,IF(R91=7,10,IF(R91=8,9,IF(R91=10,7,IF(R91&lt;=15,6,IF(R91&lt;=20,5,IF(R91&lt;=25,4,IF(R91&lt;=30,3,IF(R91&lt;=40,2,IF(R91&lt;=50,1,IF(R91&gt;50,0))))))))))))))))</f>
        <v>0</v>
      </c>
      <c r="AB91">
        <f>IF(S91=1,50,IF(S91=2,25,IF(S91=3,18,IF(S91=4,16,IF(S91=5,14,IF(S91=6,12,IF(S91=7,10,IF(S91=8,9,IF(S91=10,7,IF(S91&lt;=15,6,IF(S91&lt;=20,5,IF(S91&lt;=25,4,IF(S91&lt;=30,3,IF(S91&lt;=40,2,IF(S91&lt;=50,1,IF(S91&gt;50,0))))))))))))))))</f>
        <v>0</v>
      </c>
      <c r="AC91">
        <f>IF(T91=1,50,IF(T91=2,25,IF(T91=3,18,IF(T91=4,16,IF(T91=5,14,IF(T91=6,12,IF(T91=7,10,IF(T91=8,9,IF(T91=10,7,IF(T91&lt;=15,6,IF(T91&lt;=20,5,IF(T91&lt;=25,4,IF(T91&lt;=30,3,IF(T91&lt;=40,2,IF(T91&lt;=50,1,IF(T91&gt;50,0))))))))))))))))</f>
        <v>0</v>
      </c>
      <c r="AD91">
        <f>C91*0.5</f>
        <v>113.5</v>
      </c>
      <c r="AE91">
        <f>D91*3</f>
        <v>198</v>
      </c>
      <c r="AF91">
        <f>E91*8</f>
        <v>32</v>
      </c>
      <c r="AG91">
        <f>-1*(F91/2)</f>
        <v>-29</v>
      </c>
      <c r="AH91">
        <f>G91*-1</f>
        <v>-5</v>
      </c>
      <c r="AI91">
        <f>H91*13</f>
        <v>0</v>
      </c>
      <c r="AJ91">
        <f>I91*5</f>
        <v>0</v>
      </c>
      <c r="AK91">
        <f>J91*-1</f>
        <v>0</v>
      </c>
      <c r="AL91">
        <f>SUM(X91:AC91)</f>
        <v>36</v>
      </c>
      <c r="AM91">
        <f>SUM(AD91:AL91)</f>
        <v>345.5</v>
      </c>
      <c r="AN91">
        <f>SUM(C91:G91,J91)</f>
        <v>360</v>
      </c>
      <c r="AO91" s="1">
        <f>AM91/AN91</f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>AM92-U92</f>
        <v>-83.5</v>
      </c>
      <c r="X92">
        <f>IF(O92=1,50,IF(O92=2,25,IF(O92=3,18,IF(O92=4,16,IF(O92=5,14,IF(O92=6,12,IF(O92=7,10,IF(O92=8,9,IF(O92=10,7,IF(O92&lt;=15,6,IF(O92&lt;=20,5,IF(O92&lt;=25,4,IF(O92&lt;=30,3,IF(O92&lt;=40,2,IF(O92&lt;=50,1,IF(O92&gt;50,0))))))))))))))))</f>
        <v>1</v>
      </c>
      <c r="Y92">
        <f>IF(P92=1,50,IF(P92=2,25,IF(P92=3,18,IF(P92=4,16,IF(P92=5,14,IF(P92=6,12,IF(P92=7,10,IF(P92=8,9,IF(P92=10,7,IF(P92&lt;=15,6,IF(P92&lt;=20,5,IF(P92&lt;=25,4,IF(P92&lt;=30,3,IF(P92&lt;=40,2,IF(P92&lt;=50,1,IF(P92&gt;50,0))))))))))))))))</f>
        <v>1</v>
      </c>
      <c r="Z92">
        <f>IF(Q92=1,50,IF(Q92=2,25,IF(Q92=3,18,IF(Q92=4,16,IF(Q92=5,14,IF(Q92=6,12,IF(Q92=7,10,IF(Q92=8,9,IF(Q92=10,7,IF(Q92&lt;=15,6,IF(Q92&lt;=20,5,IF(Q92&lt;=25,4,IF(Q92&lt;=30,3,IF(Q92&lt;=40,2,IF(Q92&lt;=50,1,IF(Q92&gt;50,0))))))))))))))))</f>
        <v>0</v>
      </c>
      <c r="AA92">
        <f>IF(R92=1,50,IF(R92=2,25,IF(R92=3,18,IF(R92=4,16,IF(R92=5,14,IF(R92=6,12,IF(R92=7,10,IF(R92=8,9,IF(R92=10,7,IF(R92&lt;=15,6,IF(R92&lt;=20,5,IF(R92&lt;=25,4,IF(R92&lt;=30,3,IF(R92&lt;=40,2,IF(R92&lt;=50,1,IF(R92&gt;50,0))))))))))))))))</f>
        <v>0</v>
      </c>
      <c r="AB92">
        <f>IF(S92=1,50,IF(S92=2,25,IF(S92=3,18,IF(S92=4,16,IF(S92=5,14,IF(S92=6,12,IF(S92=7,10,IF(S92=8,9,IF(S92=10,7,IF(S92&lt;=15,6,IF(S92&lt;=20,5,IF(S92&lt;=25,4,IF(S92&lt;=30,3,IF(S92&lt;=40,2,IF(S92&lt;=50,1,IF(S92&gt;50,0))))))))))))))))</f>
        <v>0</v>
      </c>
      <c r="AC92">
        <f>IF(T92=1,50,IF(T92=2,25,IF(T92=3,18,IF(T92=4,16,IF(T92=5,14,IF(T92=6,12,IF(T92=7,10,IF(T92=8,9,IF(T92=10,7,IF(T92&lt;=15,6,IF(T92&lt;=20,5,IF(T92&lt;=25,4,IF(T92&lt;=30,3,IF(T92&lt;=40,2,IF(T92&lt;=50,1,IF(T92&gt;50,0))))))))))))))))</f>
        <v>0</v>
      </c>
      <c r="AD92">
        <f>C92*0.5</f>
        <v>105.5</v>
      </c>
      <c r="AE92">
        <f>D92*3</f>
        <v>165</v>
      </c>
      <c r="AF92">
        <f>E92*8</f>
        <v>8</v>
      </c>
      <c r="AG92">
        <f>-1*(F92/2)</f>
        <v>-27</v>
      </c>
      <c r="AH92">
        <f>G92*-1</f>
        <v>-3</v>
      </c>
      <c r="AI92">
        <f>H92*13</f>
        <v>0</v>
      </c>
      <c r="AJ92">
        <f>I92*5</f>
        <v>0</v>
      </c>
      <c r="AK92">
        <f>J92*-1</f>
        <v>0</v>
      </c>
      <c r="AL92">
        <f>SUM(X92:AC92)</f>
        <v>2</v>
      </c>
      <c r="AM92">
        <f>SUM(AD92:AL92)</f>
        <v>250.5</v>
      </c>
      <c r="AN92">
        <f>SUM(C92:G92,J92)</f>
        <v>324</v>
      </c>
      <c r="AO92" s="1">
        <f>AM92/AN92</f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30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>AM93-U93</f>
        <v>70.5</v>
      </c>
      <c r="X93">
        <f>IF(O93=1,50,IF(O93=2,25,IF(O93=3,18,IF(O93=4,16,IF(O93=5,14,IF(O93=6,12,IF(O93=7,10,IF(O93=8,9,IF(O93=10,7,IF(O93&lt;=15,6,IF(O93&lt;=20,5,IF(O93&lt;=25,4,IF(O93&lt;=30,3,IF(O93&lt;=40,2,IF(O93&lt;=50,1,IF(O93&gt;50,0))))))))))))))))</f>
        <v>25</v>
      </c>
      <c r="Y93">
        <f>IF(P93=1,50,IF(P93=2,25,IF(P93=3,18,IF(P93=4,16,IF(P93=5,14,IF(P93=6,12,IF(P93=7,10,IF(P93=8,9,IF(P93=10,7,IF(P93&lt;=15,6,IF(P93&lt;=20,5,IF(P93&lt;=25,4,IF(P93&lt;=30,3,IF(P93&lt;=40,2,IF(P93&lt;=50,1,IF(P93&gt;50,0))))))))))))))))</f>
        <v>10</v>
      </c>
      <c r="Z93">
        <f>IF(Q93=1,50,IF(Q93=2,25,IF(Q93=3,18,IF(Q93=4,16,IF(Q93=5,14,IF(Q93=6,12,IF(Q93=7,10,IF(Q93=8,9,IF(Q93=10,7,IF(Q93&lt;=15,6,IF(Q93&lt;=20,5,IF(Q93&lt;=25,4,IF(Q93&lt;=30,3,IF(Q93&lt;=40,2,IF(Q93&lt;=50,1,IF(Q93&gt;50,0))))))))))))))))</f>
        <v>3</v>
      </c>
      <c r="AA93">
        <f>IF(R93=1,50,IF(R93=2,25,IF(R93=3,18,IF(R93=4,16,IF(R93=5,14,IF(R93=6,12,IF(R93=7,10,IF(R93=8,9,IF(R93=10,7,IF(R93&lt;=15,6,IF(R93&lt;=20,5,IF(R93&lt;=25,4,IF(R93&lt;=30,3,IF(R93&lt;=40,2,IF(R93&lt;=50,1,IF(R93&gt;50,0))))))))))))))))</f>
        <v>2</v>
      </c>
      <c r="AB93">
        <f>IF(S93=1,50,IF(S93=2,25,IF(S93=3,18,IF(S93=4,16,IF(S93=5,14,IF(S93=6,12,IF(S93=7,10,IF(S93=8,9,IF(S93=10,7,IF(S93&lt;=15,6,IF(S93&lt;=20,5,IF(S93&lt;=25,4,IF(S93&lt;=30,3,IF(S93&lt;=40,2,IF(S93&lt;=50,1,IF(S93&gt;50,0))))))))))))))))</f>
        <v>0</v>
      </c>
      <c r="AC93">
        <f>IF(T93=1,50,IF(T93=2,25,IF(T93=3,18,IF(T93=4,16,IF(T93=5,14,IF(T93=6,12,IF(T93=7,10,IF(T93=8,9,IF(T93=10,7,IF(T93&lt;=15,6,IF(T93&lt;=20,5,IF(T93&lt;=25,4,IF(T93&lt;=30,3,IF(T93&lt;=40,2,IF(T93&lt;=50,1,IF(T93&gt;50,0))))))))))))))))</f>
        <v>0</v>
      </c>
      <c r="AD93">
        <f>C93*0.5</f>
        <v>121</v>
      </c>
      <c r="AE93">
        <f>D93*3</f>
        <v>270</v>
      </c>
      <c r="AF93">
        <f>E93*8</f>
        <v>8</v>
      </c>
      <c r="AG93">
        <f>-1*(F93/2)</f>
        <v>-28.5</v>
      </c>
      <c r="AH93">
        <f>G93*-1</f>
        <v>-6</v>
      </c>
      <c r="AI93">
        <f>H93*13</f>
        <v>0</v>
      </c>
      <c r="AJ93">
        <f>I93*5</f>
        <v>0</v>
      </c>
      <c r="AK93">
        <f>J93*-1</f>
        <v>0</v>
      </c>
      <c r="AL93">
        <f>SUM(X93:AC93)</f>
        <v>40</v>
      </c>
      <c r="AM93">
        <f>SUM(AD93:AL93)</f>
        <v>404.5</v>
      </c>
      <c r="AN93">
        <f>SUM(C93:G93,J93)</f>
        <v>396</v>
      </c>
      <c r="AO93" s="1">
        <f>AM93/AN93</f>
        <v>1.0214646464646464</v>
      </c>
    </row>
    <row r="94" spans="1:41" x14ac:dyDescent="0.25">
      <c r="A94" t="s">
        <v>30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>AM94-U94</f>
        <v>53.5</v>
      </c>
      <c r="X94">
        <f>IF(O94=1,50,IF(O94=2,25,IF(O94=3,18,IF(O94=4,16,IF(O94=5,14,IF(O94=6,12,IF(O94=7,10,IF(O94=8,9,IF(O94=10,7,IF(O94&lt;=15,6,IF(O94&lt;=20,5,IF(O94&lt;=25,4,IF(O94&lt;=30,3,IF(O94&lt;=40,2,IF(O94&lt;=50,1,IF(O94&gt;50,0))))))))))))))))</f>
        <v>25</v>
      </c>
      <c r="Y94">
        <f>IF(P94=1,50,IF(P94=2,25,IF(P94=3,18,IF(P94=4,16,IF(P94=5,14,IF(P94=6,12,IF(P94=7,10,IF(P94=8,9,IF(P94=10,7,IF(P94&lt;=15,6,IF(P94&lt;=20,5,IF(P94&lt;=25,4,IF(P94&lt;=30,3,IF(P94&lt;=40,2,IF(P94&lt;=50,1,IF(P94&gt;50,0))))))))))))))))</f>
        <v>6</v>
      </c>
      <c r="Z94">
        <f>IF(Q94=1,50,IF(Q94=2,25,IF(Q94=3,18,IF(Q94=4,16,IF(Q94=5,14,IF(Q94=6,12,IF(Q94=7,10,IF(Q94=8,9,IF(Q94=10,7,IF(Q94&lt;=15,6,IF(Q94&lt;=20,5,IF(Q94&lt;=25,4,IF(Q94&lt;=30,3,IF(Q94&lt;=40,2,IF(Q94&lt;=50,1,IF(Q94&gt;50,0))))))))))))))))</f>
        <v>2</v>
      </c>
      <c r="AA94">
        <f>IF(R94=1,50,IF(R94=2,25,IF(R94=3,18,IF(R94=4,16,IF(R94=5,14,IF(R94=6,12,IF(R94=7,10,IF(R94=8,9,IF(R94=10,7,IF(R94&lt;=15,6,IF(R94&lt;=20,5,IF(R94&lt;=25,4,IF(R94&lt;=30,3,IF(R94&lt;=40,2,IF(R94&lt;=50,1,IF(R94&gt;50,0))))))))))))))))</f>
        <v>2</v>
      </c>
      <c r="AB94">
        <f>IF(S94=1,50,IF(S94=2,25,IF(S94=3,18,IF(S94=4,16,IF(S94=5,14,IF(S94=6,12,IF(S94=7,10,IF(S94=8,9,IF(S94=10,7,IF(S94&lt;=15,6,IF(S94&lt;=20,5,IF(S94&lt;=25,4,IF(S94&lt;=30,3,IF(S94&lt;=40,2,IF(S94&lt;=50,1,IF(S94&gt;50,0))))))))))))))))</f>
        <v>0</v>
      </c>
      <c r="AC94">
        <f>IF(T94=1,50,IF(T94=2,25,IF(T94=3,18,IF(T94=4,16,IF(T94=5,14,IF(T94=6,12,IF(T94=7,10,IF(T94=8,9,IF(T94=10,7,IF(T94&lt;=15,6,IF(T94&lt;=20,5,IF(T94&lt;=25,4,IF(T94&lt;=30,3,IF(T94&lt;=40,2,IF(T94&lt;=50,1,IF(T94&gt;50,0))))))))))))))))</f>
        <v>0</v>
      </c>
      <c r="AD94">
        <f>C94*0.5</f>
        <v>132</v>
      </c>
      <c r="AE94">
        <f>D94*3</f>
        <v>228</v>
      </c>
      <c r="AF94">
        <f>E94*8</f>
        <v>16</v>
      </c>
      <c r="AG94">
        <f>-1*(F94/2)</f>
        <v>-25.5</v>
      </c>
      <c r="AH94">
        <f>G94*-1</f>
        <v>-3</v>
      </c>
      <c r="AI94">
        <f>H94*13</f>
        <v>0</v>
      </c>
      <c r="AJ94">
        <f>I94*5</f>
        <v>5</v>
      </c>
      <c r="AK94">
        <f>J94*-1</f>
        <v>0</v>
      </c>
      <c r="AL94">
        <f>SUM(X94:AC94)</f>
        <v>35</v>
      </c>
      <c r="AM94">
        <f>SUM(AD94:AL94)</f>
        <v>387.5</v>
      </c>
      <c r="AN94">
        <f>SUM(C94:G94,J94)</f>
        <v>396</v>
      </c>
      <c r="AO94" s="1">
        <f>AM94/AN94</f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>AM95-U95</f>
        <v>46.5</v>
      </c>
      <c r="X95">
        <f>IF(O95=1,50,IF(O95=2,25,IF(O95=3,18,IF(O95=4,16,IF(O95=5,14,IF(O95=6,12,IF(O95=7,10,IF(O95=8,9,IF(O95=10,7,IF(O95&lt;=15,6,IF(O95&lt;=20,5,IF(O95&lt;=25,4,IF(O95&lt;=30,3,IF(O95&lt;=40,2,IF(O95&lt;=50,1,IF(O95&gt;50,0))))))))))))))))</f>
        <v>50</v>
      </c>
      <c r="Y95">
        <f>IF(P95=1,50,IF(P95=2,25,IF(P95=3,18,IF(P95=4,16,IF(P95=5,14,IF(P95=6,12,IF(P95=7,10,IF(P95=8,9,IF(P95=10,7,IF(P95&lt;=15,6,IF(P95&lt;=20,5,IF(P95&lt;=25,4,IF(P95&lt;=30,3,IF(P95&lt;=40,2,IF(P95&lt;=50,1,IF(P95&gt;50,0))))))))))))))))</f>
        <v>6</v>
      </c>
      <c r="Z95">
        <f>IF(Q95=1,50,IF(Q95=2,25,IF(Q95=3,18,IF(Q95=4,16,IF(Q95=5,14,IF(Q95=6,12,IF(Q95=7,10,IF(Q95=8,9,IF(Q95=10,7,IF(Q95&lt;=15,6,IF(Q95&lt;=20,5,IF(Q95&lt;=25,4,IF(Q95&lt;=30,3,IF(Q95&lt;=40,2,IF(Q95&lt;=50,1,IF(Q95&gt;50,0))))))))))))))))</f>
        <v>2</v>
      </c>
      <c r="AA95">
        <f>IF(R95=1,50,IF(R95=2,25,IF(R95=3,18,IF(R95=4,16,IF(R95=5,14,IF(R95=6,12,IF(R95=7,10,IF(R95=8,9,IF(R95=10,7,IF(R95&lt;=15,6,IF(R95&lt;=20,5,IF(R95&lt;=25,4,IF(R95&lt;=30,3,IF(R95&lt;=40,2,IF(R95&lt;=50,1,IF(R95&gt;50,0))))))))))))))))</f>
        <v>2</v>
      </c>
      <c r="AB95">
        <f>IF(S95=1,50,IF(S95=2,25,IF(S95=3,18,IF(S95=4,16,IF(S95=5,14,IF(S95=6,12,IF(S95=7,10,IF(S95=8,9,IF(S95=10,7,IF(S95&lt;=15,6,IF(S95&lt;=20,5,IF(S95&lt;=25,4,IF(S95&lt;=30,3,IF(S95&lt;=40,2,IF(S95&lt;=50,1,IF(S95&gt;50,0))))))))))))))))</f>
        <v>0</v>
      </c>
      <c r="AC95">
        <f>IF(T95=1,50,IF(T95=2,25,IF(T95=3,18,IF(T95=4,16,IF(T95=5,14,IF(T95=6,12,IF(T95=7,10,IF(T95=8,9,IF(T95=10,7,IF(T95&lt;=15,6,IF(T95&lt;=20,5,IF(T95&lt;=25,4,IF(T95&lt;=30,3,IF(T95&lt;=40,2,IF(T95&lt;=50,1,IF(T95&gt;50,0))))))))))))))))</f>
        <v>0</v>
      </c>
      <c r="AD95">
        <f>C95*0.5</f>
        <v>114.5</v>
      </c>
      <c r="AE95">
        <f>D95*3</f>
        <v>234</v>
      </c>
      <c r="AF95">
        <f>E95*8</f>
        <v>0</v>
      </c>
      <c r="AG95">
        <f>-1*(F95/2)</f>
        <v>-25</v>
      </c>
      <c r="AH95">
        <f>G95*-1</f>
        <v>-3</v>
      </c>
      <c r="AI95">
        <f>H95*13</f>
        <v>0</v>
      </c>
      <c r="AJ95">
        <f>I95*5</f>
        <v>0</v>
      </c>
      <c r="AK95">
        <f>J95*-1</f>
        <v>0</v>
      </c>
      <c r="AL95">
        <f>SUM(X95:AC95)</f>
        <v>60</v>
      </c>
      <c r="AM95">
        <f>SUM(AD95:AL95)</f>
        <v>380.5</v>
      </c>
      <c r="AN95">
        <f>SUM(C95:G95,J95)</f>
        <v>360</v>
      </c>
      <c r="AO95" s="1">
        <f>AM95/AN95</f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>AM96-U96</f>
        <v>-10.5</v>
      </c>
      <c r="X96">
        <f>IF(O96=1,50,IF(O96=2,25,IF(O96=3,18,IF(O96=4,16,IF(O96=5,14,IF(O96=6,12,IF(O96=7,10,IF(O96=8,9,IF(O96=10,7,IF(O96&lt;=15,6,IF(O96&lt;=20,5,IF(O96&lt;=25,4,IF(O96&lt;=30,3,IF(O96&lt;=40,2,IF(O96&lt;=50,1,IF(O96&gt;50,0))))))))))))))))</f>
        <v>4</v>
      </c>
      <c r="Y96">
        <f>IF(P96=1,50,IF(P96=2,25,IF(P96=3,18,IF(P96=4,16,IF(P96=5,14,IF(P96=6,12,IF(P96=7,10,IF(P96=8,9,IF(P96=10,7,IF(P96&lt;=15,6,IF(P96&lt;=20,5,IF(P96&lt;=25,4,IF(P96&lt;=30,3,IF(P96&lt;=40,2,IF(P96&lt;=50,1,IF(P96&gt;50,0))))))))))))))))</f>
        <v>2</v>
      </c>
      <c r="Z96">
        <f>IF(Q96=1,50,IF(Q96=2,25,IF(Q96=3,18,IF(Q96=4,16,IF(Q96=5,14,IF(Q96=6,12,IF(Q96=7,10,IF(Q96=8,9,IF(Q96=10,7,IF(Q96&lt;=15,6,IF(Q96&lt;=20,5,IF(Q96&lt;=25,4,IF(Q96&lt;=30,3,IF(Q96&lt;=40,2,IF(Q96&lt;=50,1,IF(Q96&gt;50,0))))))))))))))))</f>
        <v>2</v>
      </c>
      <c r="AA96">
        <f>IF(R96=1,50,IF(R96=2,25,IF(R96=3,18,IF(R96=4,16,IF(R96=5,14,IF(R96=6,12,IF(R96=7,10,IF(R96=8,9,IF(R96=10,7,IF(R96&lt;=15,6,IF(R96&lt;=20,5,IF(R96&lt;=25,4,IF(R96&lt;=30,3,IF(R96&lt;=40,2,IF(R96&lt;=50,1,IF(R96&gt;50,0))))))))))))))))</f>
        <v>0</v>
      </c>
      <c r="AB96">
        <f>IF(S96=1,50,IF(S96=2,25,IF(S96=3,18,IF(S96=4,16,IF(S96=5,14,IF(S96=6,12,IF(S96=7,10,IF(S96=8,9,IF(S96=10,7,IF(S96&lt;=15,6,IF(S96&lt;=20,5,IF(S96&lt;=25,4,IF(S96&lt;=30,3,IF(S96&lt;=40,2,IF(S96&lt;=50,1,IF(S96&gt;50,0))))))))))))))))</f>
        <v>0</v>
      </c>
      <c r="AC96">
        <f>IF(T96=1,50,IF(T96=2,25,IF(T96=3,18,IF(T96=4,16,IF(T96=5,14,IF(T96=6,12,IF(T96=7,10,IF(T96=8,9,IF(T96=10,7,IF(T96&lt;=15,6,IF(T96&lt;=20,5,IF(T96&lt;=25,4,IF(T96&lt;=30,3,IF(T96&lt;=40,2,IF(T96&lt;=50,1,IF(T96&gt;50,0))))))))))))))))</f>
        <v>0</v>
      </c>
      <c r="AD96">
        <f>C96*0.5</f>
        <v>126.5</v>
      </c>
      <c r="AE96">
        <f>D96*3</f>
        <v>225</v>
      </c>
      <c r="AF96">
        <f>E96*8</f>
        <v>0</v>
      </c>
      <c r="AG96">
        <f>-1*(F96/2)</f>
        <v>-32</v>
      </c>
      <c r="AH96">
        <f>G96*-1</f>
        <v>-4</v>
      </c>
      <c r="AI96">
        <f>H96*13</f>
        <v>0</v>
      </c>
      <c r="AJ96">
        <f>I96*5</f>
        <v>0</v>
      </c>
      <c r="AK96">
        <f>J96*-1</f>
        <v>0</v>
      </c>
      <c r="AL96">
        <f>SUM(X96:AC96)</f>
        <v>8</v>
      </c>
      <c r="AM96">
        <f>SUM(AD96:AL96)</f>
        <v>323.5</v>
      </c>
      <c r="AN96">
        <f>SUM(C96:G96,J96)</f>
        <v>396</v>
      </c>
      <c r="AO96" s="1">
        <f>AM96/AN96</f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>AM97-U97</f>
        <v>-127</v>
      </c>
      <c r="X97">
        <f>IF(O97=1,50,IF(O97=2,25,IF(O97=3,18,IF(O97=4,16,IF(O97=5,14,IF(O97=6,12,IF(O97=7,10,IF(O97=8,9,IF(O97=10,7,IF(O97&lt;=15,6,IF(O97&lt;=20,5,IF(O97&lt;=25,4,IF(O97&lt;=30,3,IF(O97&lt;=40,2,IF(O97&lt;=50,1,IF(O97&gt;50,0))))))))))))))))</f>
        <v>6</v>
      </c>
      <c r="Y97">
        <f>IF(P97=1,50,IF(P97=2,25,IF(P97=3,18,IF(P97=4,16,IF(P97=5,14,IF(P97=6,12,IF(P97=7,10,IF(P97=8,9,IF(P97=10,7,IF(P97&lt;=15,6,IF(P97&lt;=20,5,IF(P97&lt;=25,4,IF(P97&lt;=30,3,IF(P97&lt;=40,2,IF(P97&lt;=50,1,IF(P97&gt;50,0))))))))))))))))</f>
        <v>2</v>
      </c>
      <c r="Z97">
        <f>IF(Q97=1,50,IF(Q97=2,25,IF(Q97=3,18,IF(Q97=4,16,IF(Q97=5,14,IF(Q97=6,12,IF(Q97=7,10,IF(Q97=8,9,IF(Q97=10,7,IF(Q97&lt;=15,6,IF(Q97&lt;=20,5,IF(Q97&lt;=25,4,IF(Q97&lt;=30,3,IF(Q97&lt;=40,2,IF(Q97&lt;=50,1,IF(Q97&gt;50,0))))))))))))))))</f>
        <v>0</v>
      </c>
      <c r="AA97">
        <f>IF(R97=1,50,IF(R97=2,25,IF(R97=3,18,IF(R97=4,16,IF(R97=5,14,IF(R97=6,12,IF(R97=7,10,IF(R97=8,9,IF(R97=10,7,IF(R97&lt;=15,6,IF(R97&lt;=20,5,IF(R97&lt;=25,4,IF(R97&lt;=30,3,IF(R97&lt;=40,2,IF(R97&lt;=50,1,IF(R97&gt;50,0))))))))))))))))</f>
        <v>0</v>
      </c>
      <c r="AB97">
        <f>IF(S97=1,50,IF(S97=2,25,IF(S97=3,18,IF(S97=4,16,IF(S97=5,14,IF(S97=6,12,IF(S97=7,10,IF(S97=8,9,IF(S97=10,7,IF(S97&lt;=15,6,IF(S97&lt;=20,5,IF(S97&lt;=25,4,IF(S97&lt;=30,3,IF(S97&lt;=40,2,IF(S97&lt;=50,1,IF(S97&gt;50,0))))))))))))))))</f>
        <v>0</v>
      </c>
      <c r="AC97">
        <f>IF(T97=1,50,IF(T97=2,25,IF(T97=3,18,IF(T97=4,16,IF(T97=5,14,IF(T97=6,12,IF(T97=7,10,IF(T97=8,9,IF(T97=10,7,IF(T97&lt;=15,6,IF(T97&lt;=20,5,IF(T97&lt;=25,4,IF(T97&lt;=30,3,IF(T97&lt;=40,2,IF(T97&lt;=50,1,IF(T97&gt;50,0))))))))))))))))</f>
        <v>0</v>
      </c>
      <c r="AD97">
        <f>C97*0.5</f>
        <v>80</v>
      </c>
      <c r="AE97">
        <f>D97*3</f>
        <v>129</v>
      </c>
      <c r="AF97">
        <f>E97*8</f>
        <v>16</v>
      </c>
      <c r="AG97">
        <f>-1*(F97/2)</f>
        <v>-21</v>
      </c>
      <c r="AH97">
        <f>G97*-1</f>
        <v>-5</v>
      </c>
      <c r="AI97">
        <f>H97*13</f>
        <v>0</v>
      </c>
      <c r="AJ97">
        <f>I97*5</f>
        <v>0</v>
      </c>
      <c r="AK97">
        <f>J97*-1</f>
        <v>0</v>
      </c>
      <c r="AL97">
        <f>SUM(X97:AC97)</f>
        <v>8</v>
      </c>
      <c r="AM97">
        <f>SUM(AD97:AL97)</f>
        <v>207</v>
      </c>
      <c r="AN97">
        <f>SUM(C97:G97,J97)</f>
        <v>252</v>
      </c>
      <c r="AO97" s="1">
        <f>AM97/AN97</f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>AM98-U98</f>
        <v>-11.5</v>
      </c>
      <c r="X98">
        <f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>C98*0.5</f>
        <v>112.5</v>
      </c>
      <c r="AE98">
        <f>D98*3</f>
        <v>213</v>
      </c>
      <c r="AF98">
        <f>E98*8</f>
        <v>8</v>
      </c>
      <c r="AG98">
        <f>-1*(F98/2)</f>
        <v>-27</v>
      </c>
      <c r="AH98">
        <f>G98*-1</f>
        <v>-9</v>
      </c>
      <c r="AI98">
        <f>H98*13</f>
        <v>0</v>
      </c>
      <c r="AJ98">
        <f>I98*5</f>
        <v>5</v>
      </c>
      <c r="AK98">
        <f>J98*-1</f>
        <v>0</v>
      </c>
      <c r="AL98">
        <f>SUM(X98:AC98)</f>
        <v>11</v>
      </c>
      <c r="AM98">
        <f>SUM(AD98:AL98)</f>
        <v>313.5</v>
      </c>
      <c r="AN98">
        <f>SUM(C98:G98,J98)</f>
        <v>360</v>
      </c>
      <c r="AO98" s="1">
        <f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>AM99-U99</f>
        <v>63</v>
      </c>
      <c r="X99">
        <f>IF(O99=1,50,IF(O99=2,25,IF(O99=3,18,IF(O99=4,16,IF(O99=5,14,IF(O99=6,12,IF(O99=7,10,IF(O99=8,9,IF(O99=10,7,IF(O99&lt;=15,6,IF(O99&lt;=20,5,IF(O99&lt;=25,4,IF(O99&lt;=30,3,IF(O99&lt;=40,2,IF(O99&lt;=50,1,IF(O99&gt;50,0))))))))))))))))</f>
        <v>50</v>
      </c>
      <c r="Y99">
        <f>IF(P99=1,50,IF(P99=2,25,IF(P99=3,18,IF(P99=4,16,IF(P99=5,14,IF(P99=6,12,IF(P99=7,10,IF(P99=8,9,IF(P99=10,7,IF(P99&lt;=15,6,IF(P99&lt;=20,5,IF(P99&lt;=25,4,IF(P99&lt;=30,3,IF(P99&lt;=40,2,IF(P99&lt;=50,1,IF(P99&gt;50,0))))))))))))))))</f>
        <v>6</v>
      </c>
      <c r="Z99">
        <f>IF(Q99=1,50,IF(Q99=2,25,IF(Q99=3,18,IF(Q99=4,16,IF(Q99=5,14,IF(Q99=6,12,IF(Q99=7,10,IF(Q99=8,9,IF(Q99=10,7,IF(Q99&lt;=15,6,IF(Q99&lt;=20,5,IF(Q99&lt;=25,4,IF(Q99&lt;=30,3,IF(Q99&lt;=40,2,IF(Q99&lt;=50,1,IF(Q99&gt;50,0))))))))))))))))</f>
        <v>6</v>
      </c>
      <c r="AA99">
        <f>IF(R99=1,50,IF(R99=2,25,IF(R99=3,18,IF(R99=4,16,IF(R99=5,14,IF(R99=6,12,IF(R99=7,10,IF(R99=8,9,IF(R99=10,7,IF(R99&lt;=15,6,IF(R99&lt;=20,5,IF(R99&lt;=25,4,IF(R99&lt;=30,3,IF(R99&lt;=40,2,IF(R99&lt;=50,1,IF(R99&gt;50,0))))))))))))))))</f>
        <v>0</v>
      </c>
      <c r="AB99">
        <f>IF(S99=1,50,IF(S99=2,25,IF(S99=3,18,IF(S99=4,16,IF(S99=5,14,IF(S99=6,12,IF(S99=7,10,IF(S99=8,9,IF(S99=10,7,IF(S99&lt;=15,6,IF(S99&lt;=20,5,IF(S99&lt;=25,4,IF(S99&lt;=30,3,IF(S99&lt;=40,2,IF(S99&lt;=50,1,IF(S99&gt;50,0))))))))))))))))</f>
        <v>0</v>
      </c>
      <c r="AC99">
        <f>IF(T99=1,50,IF(T99=2,25,IF(T99=3,18,IF(T99=4,16,IF(T99=5,14,IF(T99=6,12,IF(T99=7,10,IF(T99=8,9,IF(T99=10,7,IF(T99&lt;=15,6,IF(T99&lt;=20,5,IF(T99&lt;=25,4,IF(T99&lt;=30,3,IF(T99&lt;=40,2,IF(T99&lt;=50,1,IF(T99&gt;50,0))))))))))))))))</f>
        <v>0</v>
      </c>
      <c r="AD99">
        <f>C99*0.5</f>
        <v>116.5</v>
      </c>
      <c r="AE99">
        <f>D99*3</f>
        <v>237</v>
      </c>
      <c r="AF99">
        <f>E99*8</f>
        <v>0</v>
      </c>
      <c r="AG99">
        <f>-1*(F99/2)</f>
        <v>-20.5</v>
      </c>
      <c r="AH99">
        <f>G99*-1</f>
        <v>-7</v>
      </c>
      <c r="AI99">
        <f>H99*13</f>
        <v>0</v>
      </c>
      <c r="AJ99">
        <f>I99*5</f>
        <v>0</v>
      </c>
      <c r="AK99">
        <f>J99*-1</f>
        <v>0</v>
      </c>
      <c r="AL99">
        <f>SUM(X99:AC99)</f>
        <v>62</v>
      </c>
      <c r="AM99">
        <f>SUM(AD99:AL99)</f>
        <v>388</v>
      </c>
      <c r="AN99">
        <f>SUM(C99:G99,J99)</f>
        <v>360</v>
      </c>
      <c r="AO99" s="1">
        <f>AM99/AN99</f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>AM100-U100</f>
        <v>89.5</v>
      </c>
      <c r="X100">
        <f>IF(O100=1,50,IF(O100=2,25,IF(O100=3,18,IF(O100=4,16,IF(O100=5,14,IF(O100=6,12,IF(O100=7,10,IF(O100=8,9,IF(O100=10,7,IF(O100&lt;=15,6,IF(O100&lt;=20,5,IF(O100&lt;=25,4,IF(O100&lt;=30,3,IF(O100&lt;=40,2,IF(O100&lt;=50,1,IF(O100&gt;50,0))))))))))))))))</f>
        <v>16</v>
      </c>
      <c r="Y100">
        <f>IF(P100=1,50,IF(P100=2,25,IF(P100=3,18,IF(P100=4,16,IF(P100=5,14,IF(P100=6,12,IF(P100=7,10,IF(P100=8,9,IF(P100=10,7,IF(P100&lt;=15,6,IF(P100&lt;=20,5,IF(P100&lt;=25,4,IF(P100&lt;=30,3,IF(P100&lt;=40,2,IF(P100&lt;=50,1,IF(P100&gt;50,0))))))))))))))))</f>
        <v>6</v>
      </c>
      <c r="Z100">
        <f>IF(Q100=1,50,IF(Q100=2,25,IF(Q100=3,18,IF(Q100=4,16,IF(Q100=5,14,IF(Q100=6,12,IF(Q100=7,10,IF(Q100=8,9,IF(Q100=10,7,IF(Q100&lt;=15,6,IF(Q100&lt;=20,5,IF(Q100&lt;=25,4,IF(Q100&lt;=30,3,IF(Q100&lt;=40,2,IF(Q100&lt;=50,1,IF(Q100&gt;50,0))))))))))))))))</f>
        <v>6</v>
      </c>
      <c r="AA100">
        <f>IF(R100=1,50,IF(R100=2,25,IF(R100=3,18,IF(R100=4,16,IF(R100=5,14,IF(R100=6,12,IF(R100=7,10,IF(R100=8,9,IF(R100=10,7,IF(R100&lt;=15,6,IF(R100&lt;=20,5,IF(R100&lt;=25,4,IF(R100&lt;=30,3,IF(R100&lt;=40,2,IF(R100&lt;=50,1,IF(R100&gt;50,0))))))))))))))))</f>
        <v>4</v>
      </c>
      <c r="AB100">
        <f>IF(S100=1,50,IF(S100=2,25,IF(S100=3,18,IF(S100=4,16,IF(S100=5,14,IF(S100=6,12,IF(S100=7,10,IF(S100=8,9,IF(S100=10,7,IF(S100&lt;=15,6,IF(S100&lt;=20,5,IF(S100&lt;=25,4,IF(S100&lt;=30,3,IF(S100&lt;=40,2,IF(S100&lt;=50,1,IF(S100&gt;50,0))))))))))))))))</f>
        <v>2</v>
      </c>
      <c r="AC100">
        <f>IF(T100=1,50,IF(T100=2,25,IF(T100=3,18,IF(T100=4,16,IF(T100=5,14,IF(T100=6,12,IF(T100=7,10,IF(T100=8,9,IF(T100=10,7,IF(T100&lt;=15,6,IF(T100&lt;=20,5,IF(T100&lt;=25,4,IF(T100&lt;=30,3,IF(T100&lt;=40,2,IF(T100&lt;=50,1,IF(T100&gt;50,0))))))))))))))))</f>
        <v>0</v>
      </c>
      <c r="AD100">
        <f>C100*0.5</f>
        <v>135</v>
      </c>
      <c r="AE100">
        <f>D100*3</f>
        <v>282</v>
      </c>
      <c r="AF100">
        <f>E100*8</f>
        <v>0</v>
      </c>
      <c r="AG100">
        <f>-1*(F100/2)</f>
        <v>-31.5</v>
      </c>
      <c r="AH100">
        <f>G100*-1</f>
        <v>-5</v>
      </c>
      <c r="AI100">
        <f>H100*13</f>
        <v>0</v>
      </c>
      <c r="AJ100">
        <f>I100*5</f>
        <v>0</v>
      </c>
      <c r="AK100">
        <f>J100*-1</f>
        <v>0</v>
      </c>
      <c r="AL100">
        <f>SUM(X100:AC100)</f>
        <v>34</v>
      </c>
      <c r="AM100">
        <f>SUM(AD100:AL100)</f>
        <v>414.5</v>
      </c>
      <c r="AN100">
        <f>SUM(C100:G100,J100)</f>
        <v>432</v>
      </c>
      <c r="AO100" s="1">
        <f>AM100/AN100</f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>AM101-U101</f>
        <v>-55.5</v>
      </c>
      <c r="X101">
        <f>IF(O101=1,50,IF(O101=2,25,IF(O101=3,18,IF(O101=4,16,IF(O101=5,14,IF(O101=6,12,IF(O101=7,10,IF(O101=8,9,IF(O101=10,7,IF(O101&lt;=15,6,IF(O101&lt;=20,5,IF(O101&lt;=25,4,IF(O101&lt;=30,3,IF(O101&lt;=40,2,IF(O101&lt;=50,1,IF(O101&gt;50,0))))))))))))))))</f>
        <v>6</v>
      </c>
      <c r="Y101">
        <f>IF(P101=1,50,IF(P101=2,25,IF(P101=3,18,IF(P101=4,16,IF(P101=5,14,IF(P101=6,12,IF(P101=7,10,IF(P101=8,9,IF(P101=10,7,IF(P101&lt;=15,6,IF(P101&lt;=20,5,IF(P101&lt;=25,4,IF(P101&lt;=30,3,IF(P101&lt;=40,2,IF(P101&lt;=50,1,IF(P101&gt;50,0))))))))))))))))</f>
        <v>4</v>
      </c>
      <c r="Z101">
        <f>IF(Q101=1,50,IF(Q101=2,25,IF(Q101=3,18,IF(Q101=4,16,IF(Q101=5,14,IF(Q101=6,12,IF(Q101=7,10,IF(Q101=8,9,IF(Q101=10,7,IF(Q101&lt;=15,6,IF(Q101&lt;=20,5,IF(Q101&lt;=25,4,IF(Q101&lt;=30,3,IF(Q101&lt;=40,2,IF(Q101&lt;=50,1,IF(Q101&gt;50,0))))))))))))))))</f>
        <v>0</v>
      </c>
      <c r="AA101">
        <f>IF(R101=1,50,IF(R101=2,25,IF(R101=3,18,IF(R101=4,16,IF(R101=5,14,IF(R101=6,12,IF(R101=7,10,IF(R101=8,9,IF(R101=10,7,IF(R101&lt;=15,6,IF(R101&lt;=20,5,IF(R101&lt;=25,4,IF(R101&lt;=30,3,IF(R101&lt;=40,2,IF(R101&lt;=50,1,IF(R101&gt;50,0))))))))))))))))</f>
        <v>0</v>
      </c>
      <c r="AB101">
        <f>IF(S101=1,50,IF(S101=2,25,IF(S101=3,18,IF(S101=4,16,IF(S101=5,14,IF(S101=6,12,IF(S101=7,10,IF(S101=8,9,IF(S101=10,7,IF(S101&lt;=15,6,IF(S101&lt;=20,5,IF(S101&lt;=25,4,IF(S101&lt;=30,3,IF(S101&lt;=40,2,IF(S101&lt;=50,1,IF(S101&gt;50,0))))))))))))))))</f>
        <v>0</v>
      </c>
      <c r="AC101">
        <f>IF(T101=1,50,IF(T101=2,25,IF(T101=3,18,IF(T101=4,16,IF(T101=5,14,IF(T101=6,12,IF(T101=7,10,IF(T101=8,9,IF(T101=10,7,IF(T101&lt;=15,6,IF(T101&lt;=20,5,IF(T101&lt;=25,4,IF(T101&lt;=30,3,IF(T101&lt;=40,2,IF(T101&lt;=50,1,IF(T101&gt;50,0))))))))))))))))</f>
        <v>0</v>
      </c>
      <c r="AD101">
        <f>C101*0.5</f>
        <v>117</v>
      </c>
      <c r="AE101">
        <f>D101*3</f>
        <v>180</v>
      </c>
      <c r="AF101">
        <f>E101*8</f>
        <v>0</v>
      </c>
      <c r="AG101">
        <f>-1*(F101/2)</f>
        <v>-28.5</v>
      </c>
      <c r="AH101">
        <f>G101*-1</f>
        <v>-8</v>
      </c>
      <c r="AI101">
        <f>H101*13</f>
        <v>0</v>
      </c>
      <c r="AJ101">
        <f>I101*5</f>
        <v>0</v>
      </c>
      <c r="AK101">
        <f>J101*-1</f>
        <v>-1</v>
      </c>
      <c r="AL101">
        <f>SUM(X101:AC101)</f>
        <v>10</v>
      </c>
      <c r="AM101">
        <f>SUM(AD101:AL101)</f>
        <v>269.5</v>
      </c>
      <c r="AN101">
        <f>SUM(C101:G101,J101)</f>
        <v>360</v>
      </c>
      <c r="AO101" s="1">
        <f>AM101/AN101</f>
        <v>0.74861111111111112</v>
      </c>
    </row>
    <row r="102" spans="1:41" x14ac:dyDescent="0.25">
      <c r="A102" t="s">
        <v>30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>AM102-U102</f>
        <v>-8</v>
      </c>
      <c r="X102">
        <f>IF(O102=1,50,IF(O102=2,25,IF(O102=3,18,IF(O102=4,16,IF(O102=5,14,IF(O102=6,12,IF(O102=7,10,IF(O102=8,9,IF(O102=10,7,IF(O102&lt;=15,6,IF(O102&lt;=20,5,IF(O102&lt;=25,4,IF(O102&lt;=30,3,IF(O102&lt;=40,2,IF(O102&lt;=50,1,IF(O102&gt;50,0))))))))))))))))</f>
        <v>18</v>
      </c>
      <c r="Y102">
        <f>IF(P102=1,50,IF(P102=2,25,IF(P102=3,18,IF(P102=4,16,IF(P102=5,14,IF(P102=6,12,IF(P102=7,10,IF(P102=8,9,IF(P102=10,7,IF(P102&lt;=15,6,IF(P102&lt;=20,5,IF(P102&lt;=25,4,IF(P102&lt;=30,3,IF(P102&lt;=40,2,IF(P102&lt;=50,1,IF(P102&gt;50,0))))))))))))))))</f>
        <v>6</v>
      </c>
      <c r="Z102">
        <f>IF(Q102=1,50,IF(Q102=2,25,IF(Q102=3,18,IF(Q102=4,16,IF(Q102=5,14,IF(Q102=6,12,IF(Q102=7,10,IF(Q102=8,9,IF(Q102=10,7,IF(Q102&lt;=15,6,IF(Q102&lt;=20,5,IF(Q102&lt;=25,4,IF(Q102&lt;=30,3,IF(Q102&lt;=40,2,IF(Q102&lt;=50,1,IF(Q102&gt;50,0))))))))))))))))</f>
        <v>1</v>
      </c>
      <c r="AA102">
        <f>IF(R102=1,50,IF(R102=2,25,IF(R102=3,18,IF(R102=4,16,IF(R102=5,14,IF(R102=6,12,IF(R102=7,10,IF(R102=8,9,IF(R102=10,7,IF(R102&lt;=15,6,IF(R102&lt;=20,5,IF(R102&lt;=25,4,IF(R102&lt;=30,3,IF(R102&lt;=40,2,IF(R102&lt;=50,1,IF(R102&gt;50,0))))))))))))))))</f>
        <v>0</v>
      </c>
      <c r="AB102">
        <f>IF(S102=1,50,IF(S102=2,25,IF(S102=3,18,IF(S102=4,16,IF(S102=5,14,IF(S102=6,12,IF(S102=7,10,IF(S102=8,9,IF(S102=10,7,IF(S102&lt;=15,6,IF(S102&lt;=20,5,IF(S102&lt;=25,4,IF(S102&lt;=30,3,IF(S102&lt;=40,2,IF(S102&lt;=50,1,IF(S102&gt;50,0))))))))))))))))</f>
        <v>0</v>
      </c>
      <c r="AC102">
        <f>IF(T102=1,50,IF(T102=2,25,IF(T102=3,18,IF(T102=4,16,IF(T102=5,14,IF(T102=6,12,IF(T102=7,10,IF(T102=8,9,IF(T102=10,7,IF(T102&lt;=15,6,IF(T102&lt;=20,5,IF(T102&lt;=25,4,IF(T102&lt;=30,3,IF(T102&lt;=40,2,IF(T102&lt;=50,1,IF(T102&gt;50,0))))))))))))))))</f>
        <v>0</v>
      </c>
      <c r="AD102">
        <f>C102*0.5</f>
        <v>115</v>
      </c>
      <c r="AE102">
        <f>D102*3</f>
        <v>204</v>
      </c>
      <c r="AF102">
        <f>E102*8</f>
        <v>8</v>
      </c>
      <c r="AG102">
        <f>-1*(F102/2)</f>
        <v>-26</v>
      </c>
      <c r="AH102">
        <f>G102*-1</f>
        <v>-8</v>
      </c>
      <c r="AI102">
        <f>H102*13</f>
        <v>0</v>
      </c>
      <c r="AJ102">
        <f>I102*5</f>
        <v>0</v>
      </c>
      <c r="AK102">
        <f>J102*-1</f>
        <v>-1</v>
      </c>
      <c r="AL102">
        <f>SUM(X102:AC102)</f>
        <v>25</v>
      </c>
      <c r="AM102">
        <f>SUM(AD102:AL102)</f>
        <v>317</v>
      </c>
      <c r="AN102">
        <f>SUM(C102:G102,J102)</f>
        <v>360</v>
      </c>
      <c r="AO102" s="1">
        <f>AM102/AN102</f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>AM103-U103</f>
        <v>-82</v>
      </c>
      <c r="X103">
        <f>IF(O103=1,50,IF(O103=2,25,IF(O103=3,18,IF(O103=4,16,IF(O103=5,14,IF(O103=6,12,IF(O103=7,10,IF(O103=8,9,IF(O103=10,7,IF(O103&lt;=15,6,IF(O103&lt;=20,5,IF(O103&lt;=25,4,IF(O103&lt;=30,3,IF(O103&lt;=40,2,IF(O103&lt;=50,1,IF(O103&gt;50,0))))))))))))))))</f>
        <v>14</v>
      </c>
      <c r="Y103">
        <f>IF(P103=1,50,IF(P103=2,25,IF(P103=3,18,IF(P103=4,16,IF(P103=5,14,IF(P103=6,12,IF(P103=7,10,IF(P103=8,9,IF(P103=10,7,IF(P103&lt;=15,6,IF(P103&lt;=20,5,IF(P103&lt;=25,4,IF(P103&lt;=30,3,IF(P103&lt;=40,2,IF(P103&lt;=50,1,IF(P103&gt;50,0))))))))))))))))</f>
        <v>2</v>
      </c>
      <c r="Z103">
        <f>IF(Q103=1,50,IF(Q103=2,25,IF(Q103=3,18,IF(Q103=4,16,IF(Q103=5,14,IF(Q103=6,12,IF(Q103=7,10,IF(Q103=8,9,IF(Q103=10,7,IF(Q103&lt;=15,6,IF(Q103&lt;=20,5,IF(Q103&lt;=25,4,IF(Q103&lt;=30,3,IF(Q103&lt;=40,2,IF(Q103&lt;=50,1,IF(Q103&gt;50,0))))))))))))))))</f>
        <v>0</v>
      </c>
      <c r="AA103">
        <f>IF(R103=1,50,IF(R103=2,25,IF(R103=3,18,IF(R103=4,16,IF(R103=5,14,IF(R103=6,12,IF(R103=7,10,IF(R103=8,9,IF(R103=10,7,IF(R103&lt;=15,6,IF(R103&lt;=20,5,IF(R103&lt;=25,4,IF(R103&lt;=30,3,IF(R103&lt;=40,2,IF(R103&lt;=50,1,IF(R103&gt;50,0))))))))))))))))</f>
        <v>0</v>
      </c>
      <c r="AB103">
        <f>IF(S103=1,50,IF(S103=2,25,IF(S103=3,18,IF(S103=4,16,IF(S103=5,14,IF(S103=6,12,IF(S103=7,10,IF(S103=8,9,IF(S103=10,7,IF(S103&lt;=15,6,IF(S103&lt;=20,5,IF(S103&lt;=25,4,IF(S103&lt;=30,3,IF(S103&lt;=40,2,IF(S103&lt;=50,1,IF(S103&gt;50,0))))))))))))))))</f>
        <v>0</v>
      </c>
      <c r="AC103">
        <f>IF(T103=1,50,IF(T103=2,25,IF(T103=3,18,IF(T103=4,16,IF(T103=5,14,IF(T103=6,12,IF(T103=7,10,IF(T103=8,9,IF(T103=10,7,IF(T103&lt;=15,6,IF(T103&lt;=20,5,IF(T103&lt;=25,4,IF(T103&lt;=30,3,IF(T103&lt;=40,2,IF(T103&lt;=50,1,IF(T103&gt;50,0))))))))))))))))</f>
        <v>0</v>
      </c>
      <c r="AD103">
        <f>C103*0.5</f>
        <v>87</v>
      </c>
      <c r="AE103">
        <f>D103*3</f>
        <v>165</v>
      </c>
      <c r="AF103">
        <f>E103*8</f>
        <v>8</v>
      </c>
      <c r="AG103">
        <f>-1*(F103/2)</f>
        <v>-25</v>
      </c>
      <c r="AH103">
        <f>G103*-1</f>
        <v>-8</v>
      </c>
      <c r="AI103">
        <f>H103*13</f>
        <v>0</v>
      </c>
      <c r="AJ103">
        <f>I103*5</f>
        <v>0</v>
      </c>
      <c r="AK103">
        <f>J103*-1</f>
        <v>0</v>
      </c>
      <c r="AL103">
        <f>SUM(X103:AC103)</f>
        <v>16</v>
      </c>
      <c r="AM103">
        <f>SUM(AD103:AL103)</f>
        <v>243</v>
      </c>
      <c r="AN103">
        <f>SUM(C103:G103,J103)</f>
        <v>288</v>
      </c>
      <c r="AO103" s="1">
        <f>AM103/AN103</f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>AM104-U104</f>
        <v>7.5</v>
      </c>
      <c r="X104">
        <f>IF(O104=1,50,IF(O104=2,25,IF(O104=3,18,IF(O104=4,16,IF(O104=5,14,IF(O104=6,12,IF(O104=7,10,IF(O104=8,9,IF(O104=10,7,IF(O104&lt;=15,6,IF(O104&lt;=20,5,IF(O104&lt;=25,4,IF(O104&lt;=30,3,IF(O104&lt;=40,2,IF(O104&lt;=50,1,IF(O104&gt;50,0))))))))))))))))</f>
        <v>14</v>
      </c>
      <c r="Y104">
        <f>IF(P104=1,50,IF(P104=2,25,IF(P104=3,18,IF(P104=4,16,IF(P104=5,14,IF(P104=6,12,IF(P104=7,10,IF(P104=8,9,IF(P104=10,7,IF(P104&lt;=15,6,IF(P104&lt;=20,5,IF(P104&lt;=25,4,IF(P104&lt;=30,3,IF(P104&lt;=40,2,IF(P104&lt;=50,1,IF(P104&gt;50,0))))))))))))))))</f>
        <v>7</v>
      </c>
      <c r="Z104">
        <f>IF(Q104=1,50,IF(Q104=2,25,IF(Q104=3,18,IF(Q104=4,16,IF(Q104=5,14,IF(Q104=6,12,IF(Q104=7,10,IF(Q104=8,9,IF(Q104=10,7,IF(Q104&lt;=15,6,IF(Q104&lt;=20,5,IF(Q104&lt;=25,4,IF(Q104&lt;=30,3,IF(Q104&lt;=40,2,IF(Q104&lt;=50,1,IF(Q104&gt;50,0))))))))))))))))</f>
        <v>0</v>
      </c>
      <c r="AA104">
        <f>IF(R104=1,50,IF(R104=2,25,IF(R104=3,18,IF(R104=4,16,IF(R104=5,14,IF(R104=6,12,IF(R104=7,10,IF(R104=8,9,IF(R104=10,7,IF(R104&lt;=15,6,IF(R104&lt;=20,5,IF(R104&lt;=25,4,IF(R104&lt;=30,3,IF(R104&lt;=40,2,IF(R104&lt;=50,1,IF(R104&gt;50,0))))))))))))))))</f>
        <v>0</v>
      </c>
      <c r="AB104">
        <f>IF(S104=1,50,IF(S104=2,25,IF(S104=3,18,IF(S104=4,16,IF(S104=5,14,IF(S104=6,12,IF(S104=7,10,IF(S104=8,9,IF(S104=10,7,IF(S104&lt;=15,6,IF(S104&lt;=20,5,IF(S104&lt;=25,4,IF(S104&lt;=30,3,IF(S104&lt;=40,2,IF(S104&lt;=50,1,IF(S104&gt;50,0))))))))))))))))</f>
        <v>0</v>
      </c>
      <c r="AC104">
        <f>IF(T104=1,50,IF(T104=2,25,IF(T104=3,18,IF(T104=4,16,IF(T104=5,14,IF(T104=6,12,IF(T104=7,10,IF(T104=8,9,IF(T104=10,7,IF(T104&lt;=15,6,IF(T104&lt;=20,5,IF(T104&lt;=25,4,IF(T104&lt;=30,3,IF(T104&lt;=40,2,IF(T104&lt;=50,1,IF(T104&gt;50,0))))))))))))))))</f>
        <v>0</v>
      </c>
      <c r="AD104">
        <f>C104*0.5</f>
        <v>129</v>
      </c>
      <c r="AE104">
        <f>D104*3</f>
        <v>210</v>
      </c>
      <c r="AF104">
        <f>E104*8</f>
        <v>8</v>
      </c>
      <c r="AG104">
        <f>-1*(F104/2)</f>
        <v>-31.5</v>
      </c>
      <c r="AH104">
        <f>G104*-1</f>
        <v>-4</v>
      </c>
      <c r="AI104">
        <f>H104*13</f>
        <v>0</v>
      </c>
      <c r="AJ104">
        <f>I104*5</f>
        <v>0</v>
      </c>
      <c r="AK104">
        <f>J104*-1</f>
        <v>0</v>
      </c>
      <c r="AL104">
        <f>SUM(X104:AC104)</f>
        <v>21</v>
      </c>
      <c r="AM104">
        <f>SUM(AD104:AL104)</f>
        <v>332.5</v>
      </c>
      <c r="AN104">
        <f>SUM(C104:G104,J104)</f>
        <v>396</v>
      </c>
      <c r="AO104" s="1">
        <f>AM104/AN104</f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30</v>
      </c>
      <c r="O105">
        <v>1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>AM105-U105</f>
        <v>180.5</v>
      </c>
      <c r="X105">
        <f>IF(O105=1,50,IF(O105=2,25,IF(O105=3,18,IF(O105=4,16,IF(O105=5,14,IF(O105=6,12,IF(O105=7,10,IF(O105=8,9,IF(O105=10,7,IF(O105&lt;=15,6,IF(O105&lt;=20,5,IF(O105&lt;=25,4,IF(O105&lt;=30,3,IF(O105&lt;=40,2,IF(O105&lt;=50,1,IF(O105&gt;50,0))))))))))))))))</f>
        <v>50</v>
      </c>
      <c r="Y105">
        <f>IF(P105=1,50,IF(P105=2,25,IF(P105=3,18,IF(P105=4,16,IF(P105=5,14,IF(P105=6,12,IF(P105=7,10,IF(P105=8,9,IF(P105=10,7,IF(P105&lt;=15,6,IF(P105&lt;=20,5,IF(P105&lt;=25,4,IF(P105&lt;=30,3,IF(P105&lt;=40,2,IF(P105&lt;=50,1,IF(P105&gt;50,0))))))))))))))))</f>
        <v>10</v>
      </c>
      <c r="Z105">
        <f>IF(Q105=1,50,IF(Q105=2,25,IF(Q105=3,18,IF(Q105=4,16,IF(Q105=5,14,IF(Q105=6,12,IF(Q105=7,10,IF(Q105=8,9,IF(Q105=10,7,IF(Q105&lt;=15,6,IF(Q105&lt;=20,5,IF(Q105&lt;=25,4,IF(Q105&lt;=30,3,IF(Q105&lt;=40,2,IF(Q105&lt;=50,1,IF(Q105&gt;50,0))))))))))))))))</f>
        <v>10</v>
      </c>
      <c r="AA105">
        <f>IF(R105=1,50,IF(R105=2,25,IF(R105=3,18,IF(R105=4,16,IF(R105=5,14,IF(R105=6,12,IF(R105=7,10,IF(R105=8,9,IF(R105=10,7,IF(R105&lt;=15,6,IF(R105&lt;=20,5,IF(R105&lt;=25,4,IF(R105&lt;=30,3,IF(R105&lt;=40,2,IF(R105&lt;=50,1,IF(R105&gt;50,0))))))))))))))))</f>
        <v>6</v>
      </c>
      <c r="AB105">
        <f>IF(S105=1,50,IF(S105=2,25,IF(S105=3,18,IF(S105=4,16,IF(S105=5,14,IF(S105=6,12,IF(S105=7,10,IF(S105=8,9,IF(S105=10,7,IF(S105&lt;=15,6,IF(S105&lt;=20,5,IF(S105&lt;=25,4,IF(S105&lt;=30,3,IF(S105&lt;=40,2,IF(S105&lt;=50,1,IF(S105&gt;50,0))))))))))))))))</f>
        <v>4</v>
      </c>
      <c r="AC105">
        <f>IF(T105=1,50,IF(T105=2,25,IF(T105=3,18,IF(T105=4,16,IF(T105=5,14,IF(T105=6,12,IF(T105=7,10,IF(T105=8,9,IF(T105=10,7,IF(T105&lt;=15,6,IF(T105&lt;=20,5,IF(T105&lt;=25,4,IF(T105&lt;=30,3,IF(T105&lt;=40,2,IF(T105&lt;=50,1,IF(T105&gt;50,0))))))))))))))))</f>
        <v>2</v>
      </c>
      <c r="AD105">
        <f>C105*0.5</f>
        <v>141</v>
      </c>
      <c r="AE105">
        <f>D105*3</f>
        <v>285</v>
      </c>
      <c r="AF105">
        <f>E105*8</f>
        <v>24</v>
      </c>
      <c r="AG105">
        <f>-1*(F105/2)</f>
        <v>-25.5</v>
      </c>
      <c r="AH105">
        <f>G105*-1</f>
        <v>-1</v>
      </c>
      <c r="AI105">
        <f>H105*13</f>
        <v>0</v>
      </c>
      <c r="AJ105">
        <f>I105*5</f>
        <v>0</v>
      </c>
      <c r="AK105">
        <f>J105*-1</f>
        <v>0</v>
      </c>
      <c r="AL105">
        <f>SUM(X105:AC105)</f>
        <v>82</v>
      </c>
      <c r="AM105">
        <f>SUM(AD105:AL105)</f>
        <v>505.5</v>
      </c>
      <c r="AN105">
        <f>SUM(C105:G105,J105)</f>
        <v>432</v>
      </c>
      <c r="AO105" s="1">
        <f>AM105/AN105</f>
        <v>1.1701388888888888</v>
      </c>
    </row>
  </sheetData>
  <autoFilter ref="A1:AO97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56"/>
  <sheetViews>
    <sheetView workbookViewId="0">
      <pane ySplit="1" topLeftCell="A68" activePane="bottomLeft" state="frozen"/>
      <selection activeCell="C1" sqref="C1"/>
      <selection pane="bottomLeft" activeCell="D27" sqref="D27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176</v>
      </c>
      <c r="B2" t="s">
        <v>79</v>
      </c>
      <c r="C2" t="s">
        <v>177</v>
      </c>
      <c r="D2" t="s">
        <v>3</v>
      </c>
      <c r="E2">
        <v>5</v>
      </c>
      <c r="F2" t="s">
        <v>81</v>
      </c>
      <c r="G2">
        <v>268.5</v>
      </c>
      <c r="H2">
        <v>53.7</v>
      </c>
      <c r="I2">
        <v>5</v>
      </c>
      <c r="J2">
        <v>3</v>
      </c>
      <c r="K2">
        <v>2</v>
      </c>
      <c r="L2">
        <v>191</v>
      </c>
      <c r="M2">
        <v>60</v>
      </c>
      <c r="N2">
        <v>1</v>
      </c>
      <c r="O2">
        <v>30</v>
      </c>
      <c r="P2">
        <v>5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53.4</v>
      </c>
      <c r="Y2">
        <v>70.56</v>
      </c>
      <c r="Z2">
        <v>63</v>
      </c>
    </row>
    <row r="3" spans="1:26" x14ac:dyDescent="0.25">
      <c r="A3" t="s">
        <v>186</v>
      </c>
      <c r="B3" t="s">
        <v>79</v>
      </c>
      <c r="C3" t="s">
        <v>187</v>
      </c>
      <c r="D3" t="s">
        <v>3</v>
      </c>
      <c r="E3">
        <v>12</v>
      </c>
      <c r="F3" t="s">
        <v>92</v>
      </c>
      <c r="G3">
        <v>49</v>
      </c>
      <c r="H3">
        <v>24.5</v>
      </c>
      <c r="I3">
        <v>2</v>
      </c>
      <c r="J3">
        <v>0</v>
      </c>
      <c r="K3">
        <v>2</v>
      </c>
      <c r="L3">
        <v>51</v>
      </c>
      <c r="M3">
        <v>10</v>
      </c>
      <c r="N3">
        <v>0</v>
      </c>
      <c r="O3">
        <v>9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75.5</v>
      </c>
      <c r="Y3">
        <v>71.25</v>
      </c>
      <c r="Z3">
        <v>0</v>
      </c>
    </row>
    <row r="4" spans="1:26" x14ac:dyDescent="0.25">
      <c r="A4" t="s">
        <v>174</v>
      </c>
      <c r="B4" t="s">
        <v>79</v>
      </c>
      <c r="C4" t="s">
        <v>175</v>
      </c>
      <c r="D4" t="s">
        <v>3</v>
      </c>
      <c r="E4">
        <v>2</v>
      </c>
      <c r="F4" t="s">
        <v>81</v>
      </c>
      <c r="G4">
        <v>267.5</v>
      </c>
      <c r="H4">
        <v>53.5</v>
      </c>
      <c r="I4">
        <v>5</v>
      </c>
      <c r="J4">
        <v>3</v>
      </c>
      <c r="K4">
        <v>2</v>
      </c>
      <c r="L4">
        <v>161</v>
      </c>
      <c r="M4">
        <v>62</v>
      </c>
      <c r="N4">
        <v>1</v>
      </c>
      <c r="O4">
        <v>44</v>
      </c>
      <c r="P4">
        <v>2</v>
      </c>
      <c r="Q4">
        <v>0</v>
      </c>
      <c r="R4">
        <v>0</v>
      </c>
      <c r="S4">
        <v>1</v>
      </c>
      <c r="T4">
        <v>1</v>
      </c>
      <c r="U4">
        <v>0</v>
      </c>
      <c r="V4">
        <v>0</v>
      </c>
      <c r="W4">
        <v>0</v>
      </c>
      <c r="X4">
        <v>45.4</v>
      </c>
      <c r="Y4">
        <v>70.53</v>
      </c>
      <c r="Z4">
        <v>151</v>
      </c>
    </row>
    <row r="5" spans="1:26" x14ac:dyDescent="0.25">
      <c r="A5" t="s">
        <v>168</v>
      </c>
      <c r="B5" t="s">
        <v>79</v>
      </c>
      <c r="C5" t="s">
        <v>169</v>
      </c>
      <c r="D5" t="s">
        <v>3</v>
      </c>
      <c r="E5">
        <v>4</v>
      </c>
      <c r="F5" t="s">
        <v>81</v>
      </c>
      <c r="G5">
        <v>465.5</v>
      </c>
      <c r="H5">
        <v>66.5</v>
      </c>
      <c r="I5">
        <v>7</v>
      </c>
      <c r="J5">
        <v>6</v>
      </c>
      <c r="K5">
        <v>1</v>
      </c>
      <c r="L5">
        <v>281</v>
      </c>
      <c r="M5">
        <v>102</v>
      </c>
      <c r="N5">
        <v>2</v>
      </c>
      <c r="O5">
        <v>62</v>
      </c>
      <c r="P5">
        <v>3</v>
      </c>
      <c r="Q5">
        <v>0</v>
      </c>
      <c r="R5">
        <v>0</v>
      </c>
      <c r="S5">
        <v>3</v>
      </c>
      <c r="T5">
        <v>1</v>
      </c>
      <c r="U5">
        <v>1</v>
      </c>
      <c r="V5">
        <v>1</v>
      </c>
      <c r="W5">
        <v>0</v>
      </c>
      <c r="X5">
        <v>38.299999999999997</v>
      </c>
      <c r="Y5">
        <v>69.760000000000005</v>
      </c>
      <c r="Z5">
        <v>566</v>
      </c>
    </row>
    <row r="6" spans="1:26" x14ac:dyDescent="0.25">
      <c r="A6" t="s">
        <v>166</v>
      </c>
      <c r="B6" t="s">
        <v>79</v>
      </c>
      <c r="C6" t="s">
        <v>167</v>
      </c>
      <c r="D6" t="s">
        <v>3</v>
      </c>
      <c r="E6">
        <v>6</v>
      </c>
      <c r="F6" t="s">
        <v>81</v>
      </c>
      <c r="G6">
        <v>466</v>
      </c>
      <c r="H6">
        <v>77.67</v>
      </c>
      <c r="I6">
        <v>6</v>
      </c>
      <c r="J6">
        <v>6</v>
      </c>
      <c r="K6">
        <v>0</v>
      </c>
      <c r="L6">
        <v>270</v>
      </c>
      <c r="M6">
        <v>97</v>
      </c>
      <c r="N6">
        <v>5</v>
      </c>
      <c r="O6">
        <v>58</v>
      </c>
      <c r="P6">
        <v>2</v>
      </c>
      <c r="Q6">
        <v>0</v>
      </c>
      <c r="R6">
        <v>0</v>
      </c>
      <c r="S6">
        <v>5</v>
      </c>
      <c r="T6">
        <v>2</v>
      </c>
      <c r="U6">
        <v>0</v>
      </c>
      <c r="V6">
        <v>0</v>
      </c>
      <c r="W6">
        <v>0</v>
      </c>
      <c r="X6">
        <v>23</v>
      </c>
      <c r="Y6">
        <v>69.459999999999994</v>
      </c>
      <c r="Z6">
        <v>549</v>
      </c>
    </row>
    <row r="7" spans="1:26" x14ac:dyDescent="0.25">
      <c r="A7" t="s">
        <v>170</v>
      </c>
      <c r="B7" t="s">
        <v>79</v>
      </c>
      <c r="C7" t="s">
        <v>171</v>
      </c>
      <c r="D7" t="s">
        <v>3</v>
      </c>
      <c r="E7">
        <v>7</v>
      </c>
      <c r="F7" t="s">
        <v>92</v>
      </c>
      <c r="G7">
        <v>281</v>
      </c>
      <c r="H7">
        <v>70.25</v>
      </c>
      <c r="I7">
        <v>4</v>
      </c>
      <c r="J7">
        <v>4</v>
      </c>
      <c r="K7">
        <v>0</v>
      </c>
      <c r="L7">
        <v>182</v>
      </c>
      <c r="M7">
        <v>58</v>
      </c>
      <c r="N7">
        <v>1</v>
      </c>
      <c r="O7">
        <v>26</v>
      </c>
      <c r="P7">
        <v>2</v>
      </c>
      <c r="Q7">
        <v>1</v>
      </c>
      <c r="R7">
        <v>1</v>
      </c>
      <c r="S7">
        <v>3</v>
      </c>
      <c r="T7">
        <v>2</v>
      </c>
      <c r="U7">
        <v>0</v>
      </c>
      <c r="V7">
        <v>0</v>
      </c>
      <c r="W7">
        <v>0</v>
      </c>
      <c r="X7">
        <v>29.5</v>
      </c>
      <c r="Y7">
        <v>69.400000000000006</v>
      </c>
      <c r="Z7">
        <v>206</v>
      </c>
    </row>
    <row r="8" spans="1:26" x14ac:dyDescent="0.25">
      <c r="A8" t="s">
        <v>162</v>
      </c>
      <c r="B8" t="s">
        <v>79</v>
      </c>
      <c r="C8" t="s">
        <v>163</v>
      </c>
      <c r="D8" t="s">
        <v>3</v>
      </c>
      <c r="E8">
        <v>3</v>
      </c>
      <c r="F8" t="s">
        <v>81</v>
      </c>
      <c r="G8">
        <v>561</v>
      </c>
      <c r="H8">
        <v>80.14</v>
      </c>
      <c r="I8">
        <v>7</v>
      </c>
      <c r="J8">
        <v>6</v>
      </c>
      <c r="K8">
        <v>1</v>
      </c>
      <c r="L8">
        <v>264</v>
      </c>
      <c r="M8">
        <v>125</v>
      </c>
      <c r="N8">
        <v>5</v>
      </c>
      <c r="O8">
        <v>44</v>
      </c>
      <c r="P8">
        <v>10</v>
      </c>
      <c r="Q8">
        <v>2</v>
      </c>
      <c r="R8">
        <v>2</v>
      </c>
      <c r="S8">
        <v>4</v>
      </c>
      <c r="T8">
        <v>4</v>
      </c>
      <c r="U8">
        <v>1</v>
      </c>
      <c r="V8">
        <v>1</v>
      </c>
      <c r="W8">
        <v>0</v>
      </c>
      <c r="X8">
        <v>26</v>
      </c>
      <c r="Y8">
        <v>69</v>
      </c>
      <c r="Z8">
        <v>632</v>
      </c>
    </row>
    <row r="9" spans="1:26" x14ac:dyDescent="0.25">
      <c r="A9" t="s">
        <v>190</v>
      </c>
      <c r="B9" t="s">
        <v>79</v>
      </c>
      <c r="C9" t="s">
        <v>191</v>
      </c>
      <c r="D9" t="s">
        <v>3</v>
      </c>
      <c r="E9">
        <v>15</v>
      </c>
      <c r="F9" t="s">
        <v>103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184</v>
      </c>
      <c r="B10" t="s">
        <v>79</v>
      </c>
      <c r="C10" t="s">
        <v>185</v>
      </c>
      <c r="D10" t="s">
        <v>3</v>
      </c>
      <c r="E10">
        <v>11</v>
      </c>
      <c r="F10" t="s">
        <v>92</v>
      </c>
      <c r="G10">
        <v>52.5</v>
      </c>
      <c r="H10">
        <v>26.25</v>
      </c>
      <c r="I10">
        <v>2</v>
      </c>
      <c r="J10">
        <v>0</v>
      </c>
      <c r="K10">
        <v>2</v>
      </c>
      <c r="L10">
        <v>44</v>
      </c>
      <c r="M10">
        <v>13</v>
      </c>
      <c r="N10">
        <v>0</v>
      </c>
      <c r="O10">
        <v>13</v>
      </c>
      <c r="P10">
        <v>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74</v>
      </c>
      <c r="Y10">
        <v>71.5</v>
      </c>
      <c r="Z10">
        <v>0</v>
      </c>
    </row>
    <row r="11" spans="1:26" x14ac:dyDescent="0.25">
      <c r="A11" t="s">
        <v>164</v>
      </c>
      <c r="B11" t="s">
        <v>79</v>
      </c>
      <c r="C11" t="s">
        <v>165</v>
      </c>
      <c r="D11" t="s">
        <v>3</v>
      </c>
      <c r="E11">
        <v>1</v>
      </c>
      <c r="F11" t="s">
        <v>81</v>
      </c>
      <c r="G11">
        <v>628</v>
      </c>
      <c r="H11">
        <v>89.71</v>
      </c>
      <c r="I11">
        <v>7</v>
      </c>
      <c r="J11">
        <v>7</v>
      </c>
      <c r="K11">
        <v>0</v>
      </c>
      <c r="L11">
        <v>305</v>
      </c>
      <c r="M11">
        <v>126</v>
      </c>
      <c r="N11">
        <v>5</v>
      </c>
      <c r="O11">
        <v>45</v>
      </c>
      <c r="P11">
        <v>4</v>
      </c>
      <c r="Q11">
        <v>1</v>
      </c>
      <c r="R11">
        <v>1</v>
      </c>
      <c r="S11">
        <v>6</v>
      </c>
      <c r="T11">
        <v>5</v>
      </c>
      <c r="U11">
        <v>4</v>
      </c>
      <c r="V11">
        <v>2</v>
      </c>
      <c r="W11">
        <v>0</v>
      </c>
      <c r="X11">
        <v>14.6</v>
      </c>
      <c r="Y11">
        <v>68.739999999999995</v>
      </c>
      <c r="Z11">
        <v>1047</v>
      </c>
    </row>
    <row r="12" spans="1:26" x14ac:dyDescent="0.25">
      <c r="A12" t="s">
        <v>172</v>
      </c>
      <c r="B12" t="s">
        <v>79</v>
      </c>
      <c r="C12" t="s">
        <v>173</v>
      </c>
      <c r="D12" t="s">
        <v>3</v>
      </c>
      <c r="E12">
        <v>10</v>
      </c>
      <c r="F12" t="s">
        <v>92</v>
      </c>
      <c r="G12">
        <v>290.5</v>
      </c>
      <c r="H12">
        <v>72.62</v>
      </c>
      <c r="I12">
        <v>4</v>
      </c>
      <c r="J12">
        <v>3</v>
      </c>
      <c r="K12">
        <v>1</v>
      </c>
      <c r="L12">
        <v>172</v>
      </c>
      <c r="M12">
        <v>68</v>
      </c>
      <c r="N12">
        <v>0</v>
      </c>
      <c r="O12">
        <v>27</v>
      </c>
      <c r="P12">
        <v>3</v>
      </c>
      <c r="Q12">
        <v>0</v>
      </c>
      <c r="R12">
        <v>0</v>
      </c>
      <c r="S12">
        <v>2</v>
      </c>
      <c r="T12">
        <v>1</v>
      </c>
      <c r="U12">
        <v>0</v>
      </c>
      <c r="V12">
        <v>0</v>
      </c>
      <c r="W12">
        <v>0</v>
      </c>
      <c r="X12">
        <v>31.8</v>
      </c>
      <c r="Y12">
        <v>68.87</v>
      </c>
      <c r="Z12">
        <v>148</v>
      </c>
    </row>
    <row r="13" spans="1:26" x14ac:dyDescent="0.25">
      <c r="A13" t="s">
        <v>178</v>
      </c>
      <c r="B13" t="s">
        <v>79</v>
      </c>
      <c r="C13" t="s">
        <v>179</v>
      </c>
      <c r="D13" t="s">
        <v>3</v>
      </c>
      <c r="E13">
        <v>8</v>
      </c>
      <c r="F13" t="s">
        <v>92</v>
      </c>
      <c r="G13">
        <v>344.5</v>
      </c>
      <c r="H13">
        <v>57.42</v>
      </c>
      <c r="I13">
        <v>6</v>
      </c>
      <c r="J13">
        <v>3</v>
      </c>
      <c r="K13">
        <v>3</v>
      </c>
      <c r="L13">
        <v>210</v>
      </c>
      <c r="M13">
        <v>79</v>
      </c>
      <c r="N13">
        <v>0</v>
      </c>
      <c r="O13">
        <v>45</v>
      </c>
      <c r="P13">
        <v>6</v>
      </c>
      <c r="Q13">
        <v>2</v>
      </c>
      <c r="R13">
        <v>2</v>
      </c>
      <c r="S13">
        <v>2</v>
      </c>
      <c r="T13">
        <v>1</v>
      </c>
      <c r="U13">
        <v>1</v>
      </c>
      <c r="V13">
        <v>1</v>
      </c>
      <c r="W13">
        <v>0</v>
      </c>
      <c r="X13">
        <v>41.7</v>
      </c>
      <c r="Y13">
        <v>70.16</v>
      </c>
      <c r="Z13">
        <v>234</v>
      </c>
    </row>
    <row r="14" spans="1:26" x14ac:dyDescent="0.25">
      <c r="A14" t="s">
        <v>182</v>
      </c>
      <c r="B14" t="s">
        <v>79</v>
      </c>
      <c r="C14" t="s">
        <v>183</v>
      </c>
      <c r="D14" t="s">
        <v>3</v>
      </c>
      <c r="E14">
        <v>16</v>
      </c>
      <c r="F14" t="s">
        <v>92</v>
      </c>
      <c r="G14">
        <v>111.5</v>
      </c>
      <c r="H14">
        <v>37.17</v>
      </c>
      <c r="I14">
        <v>3</v>
      </c>
      <c r="J14">
        <v>1</v>
      </c>
      <c r="K14">
        <v>2</v>
      </c>
      <c r="L14">
        <v>96</v>
      </c>
      <c r="M14">
        <v>23</v>
      </c>
      <c r="N14">
        <v>1</v>
      </c>
      <c r="O14">
        <v>21</v>
      </c>
      <c r="P14">
        <v>2</v>
      </c>
      <c r="Q14">
        <v>1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68</v>
      </c>
      <c r="Y14">
        <v>71.25</v>
      </c>
      <c r="Z14">
        <v>6</v>
      </c>
    </row>
    <row r="15" spans="1:26" x14ac:dyDescent="0.25">
      <c r="A15" t="s">
        <v>160</v>
      </c>
      <c r="B15" t="s">
        <v>79</v>
      </c>
      <c r="C15" t="s">
        <v>161</v>
      </c>
      <c r="D15" t="s">
        <v>3</v>
      </c>
      <c r="E15">
        <v>9</v>
      </c>
      <c r="F15" t="s">
        <v>92</v>
      </c>
      <c r="G15">
        <v>495.5</v>
      </c>
      <c r="H15">
        <v>55.06</v>
      </c>
      <c r="I15">
        <v>9</v>
      </c>
      <c r="J15">
        <v>6</v>
      </c>
      <c r="K15">
        <v>3</v>
      </c>
      <c r="L15">
        <v>344</v>
      </c>
      <c r="M15">
        <v>112</v>
      </c>
      <c r="N15">
        <v>1</v>
      </c>
      <c r="O15">
        <v>57</v>
      </c>
      <c r="P15">
        <v>7</v>
      </c>
      <c r="Q15">
        <v>1</v>
      </c>
      <c r="R15">
        <v>1</v>
      </c>
      <c r="S15">
        <v>2</v>
      </c>
      <c r="T15">
        <v>0</v>
      </c>
      <c r="U15">
        <v>0</v>
      </c>
      <c r="V15">
        <v>0</v>
      </c>
      <c r="W15">
        <v>0</v>
      </c>
      <c r="X15">
        <v>48.7</v>
      </c>
      <c r="Y15">
        <v>69.790000000000006</v>
      </c>
      <c r="Z15">
        <v>153</v>
      </c>
    </row>
    <row r="16" spans="1:26" x14ac:dyDescent="0.25">
      <c r="A16" t="s">
        <v>372</v>
      </c>
      <c r="B16" t="s">
        <v>79</v>
      </c>
      <c r="C16" t="s">
        <v>373</v>
      </c>
      <c r="D16" t="s">
        <v>3</v>
      </c>
      <c r="E16">
        <v>16</v>
      </c>
      <c r="F16" t="s">
        <v>81</v>
      </c>
      <c r="G16">
        <v>56</v>
      </c>
      <c r="H16">
        <v>56</v>
      </c>
      <c r="I16">
        <v>1</v>
      </c>
      <c r="J16">
        <v>1</v>
      </c>
      <c r="K16">
        <v>0</v>
      </c>
      <c r="L16">
        <v>53</v>
      </c>
      <c r="M16">
        <v>11</v>
      </c>
      <c r="N16">
        <v>0</v>
      </c>
      <c r="O16">
        <v>7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45</v>
      </c>
      <c r="Y16">
        <v>69.5</v>
      </c>
      <c r="Z16">
        <v>9</v>
      </c>
    </row>
    <row r="17" spans="1:26" x14ac:dyDescent="0.25">
      <c r="A17" t="s">
        <v>180</v>
      </c>
      <c r="B17" t="s">
        <v>79</v>
      </c>
      <c r="C17" t="s">
        <v>181</v>
      </c>
      <c r="D17" t="s">
        <v>3</v>
      </c>
      <c r="E17">
        <v>14</v>
      </c>
      <c r="F17" t="s">
        <v>92</v>
      </c>
      <c r="G17">
        <v>111</v>
      </c>
      <c r="H17">
        <v>55.5</v>
      </c>
      <c r="I17">
        <v>2</v>
      </c>
      <c r="J17">
        <v>1</v>
      </c>
      <c r="K17">
        <v>1</v>
      </c>
      <c r="L17">
        <v>63</v>
      </c>
      <c r="M17">
        <v>26</v>
      </c>
      <c r="N17">
        <v>1</v>
      </c>
      <c r="O17">
        <v>17</v>
      </c>
      <c r="P17">
        <v>1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47</v>
      </c>
      <c r="Y17">
        <v>69.5</v>
      </c>
      <c r="Z17">
        <v>27</v>
      </c>
    </row>
    <row r="18" spans="1:26" x14ac:dyDescent="0.25">
      <c r="A18" t="s">
        <v>188</v>
      </c>
      <c r="B18" t="s">
        <v>79</v>
      </c>
      <c r="C18" t="s">
        <v>189</v>
      </c>
      <c r="D18" t="s">
        <v>3</v>
      </c>
      <c r="E18">
        <v>13</v>
      </c>
      <c r="F18" t="s">
        <v>92</v>
      </c>
      <c r="G18">
        <v>20.5</v>
      </c>
      <c r="H18">
        <v>20.5</v>
      </c>
      <c r="I18">
        <v>1</v>
      </c>
      <c r="J18">
        <v>0</v>
      </c>
      <c r="K18">
        <v>1</v>
      </c>
      <c r="L18">
        <v>25</v>
      </c>
      <c r="M18">
        <v>4</v>
      </c>
      <c r="N18">
        <v>0</v>
      </c>
      <c r="O18">
        <v>6</v>
      </c>
      <c r="P18">
        <v>0</v>
      </c>
      <c r="Q18">
        <v>1</v>
      </c>
      <c r="R18">
        <v>1</v>
      </c>
      <c r="S18">
        <v>0</v>
      </c>
      <c r="T18">
        <v>0</v>
      </c>
      <c r="U18">
        <v>0</v>
      </c>
      <c r="V18">
        <v>0</v>
      </c>
      <c r="W18">
        <v>0</v>
      </c>
      <c r="X18">
        <v>69</v>
      </c>
      <c r="Y18">
        <v>73.5</v>
      </c>
      <c r="Z18">
        <v>0</v>
      </c>
    </row>
    <row r="19" spans="1:26" x14ac:dyDescent="0.25">
      <c r="A19" t="s">
        <v>194</v>
      </c>
      <c r="B19" t="s">
        <v>79</v>
      </c>
      <c r="C19" t="s">
        <v>195</v>
      </c>
      <c r="D19" t="s">
        <v>6</v>
      </c>
      <c r="E19">
        <v>1</v>
      </c>
      <c r="F19" t="s">
        <v>81</v>
      </c>
      <c r="G19">
        <v>470</v>
      </c>
      <c r="H19">
        <v>67.14</v>
      </c>
      <c r="I19">
        <v>7</v>
      </c>
      <c r="J19">
        <v>5</v>
      </c>
      <c r="K19">
        <v>2</v>
      </c>
      <c r="L19">
        <v>244</v>
      </c>
      <c r="M19">
        <v>110</v>
      </c>
      <c r="N19">
        <v>1</v>
      </c>
      <c r="O19">
        <v>54</v>
      </c>
      <c r="P19">
        <v>5</v>
      </c>
      <c r="Q19">
        <v>0</v>
      </c>
      <c r="R19">
        <v>0</v>
      </c>
      <c r="S19">
        <v>4</v>
      </c>
      <c r="T19">
        <v>2</v>
      </c>
      <c r="U19">
        <v>1</v>
      </c>
      <c r="V19">
        <v>1</v>
      </c>
      <c r="W19">
        <v>0</v>
      </c>
      <c r="X19">
        <v>31.9</v>
      </c>
      <c r="Y19">
        <v>69.48</v>
      </c>
      <c r="Z19">
        <v>581</v>
      </c>
    </row>
    <row r="20" spans="1:26" x14ac:dyDescent="0.25">
      <c r="A20" t="s">
        <v>216</v>
      </c>
      <c r="B20" t="s">
        <v>79</v>
      </c>
      <c r="C20" t="s">
        <v>217</v>
      </c>
      <c r="D20" t="s">
        <v>6</v>
      </c>
      <c r="E20">
        <v>14</v>
      </c>
      <c r="F20" t="s">
        <v>92</v>
      </c>
      <c r="G20">
        <v>58.5</v>
      </c>
      <c r="H20">
        <v>58.5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8</v>
      </c>
      <c r="P20">
        <v>2</v>
      </c>
      <c r="Q20">
        <v>1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>
        <v>67</v>
      </c>
      <c r="Y20">
        <v>71.25</v>
      </c>
      <c r="Z20">
        <v>4</v>
      </c>
    </row>
    <row r="21" spans="1:26" x14ac:dyDescent="0.25">
      <c r="A21" t="s">
        <v>210</v>
      </c>
      <c r="B21" t="s">
        <v>79</v>
      </c>
      <c r="C21" t="s">
        <v>211</v>
      </c>
      <c r="D21" t="s">
        <v>6</v>
      </c>
      <c r="E21">
        <v>12</v>
      </c>
      <c r="F21" t="s">
        <v>92</v>
      </c>
      <c r="G21">
        <v>99.5</v>
      </c>
      <c r="H21">
        <v>49.75</v>
      </c>
      <c r="I21">
        <v>2</v>
      </c>
      <c r="J21">
        <v>1</v>
      </c>
      <c r="K21">
        <v>1</v>
      </c>
      <c r="L21">
        <v>72</v>
      </c>
      <c r="M21">
        <v>21</v>
      </c>
      <c r="N21">
        <v>1</v>
      </c>
      <c r="O21">
        <v>11</v>
      </c>
      <c r="P21">
        <v>2</v>
      </c>
      <c r="Q21">
        <v>1</v>
      </c>
      <c r="R21">
        <v>1</v>
      </c>
      <c r="S21">
        <v>0</v>
      </c>
      <c r="T21">
        <v>0</v>
      </c>
      <c r="U21">
        <v>0</v>
      </c>
      <c r="V21">
        <v>0</v>
      </c>
      <c r="W21">
        <v>0</v>
      </c>
      <c r="X21">
        <v>57.5</v>
      </c>
      <c r="Y21">
        <v>70.17</v>
      </c>
      <c r="Z21">
        <v>10</v>
      </c>
    </row>
    <row r="22" spans="1:26" x14ac:dyDescent="0.25">
      <c r="A22" t="s">
        <v>218</v>
      </c>
      <c r="B22" t="s">
        <v>79</v>
      </c>
      <c r="C22" t="s">
        <v>219</v>
      </c>
      <c r="D22" t="s">
        <v>6</v>
      </c>
      <c r="E22">
        <v>15</v>
      </c>
      <c r="F22" t="s">
        <v>92</v>
      </c>
      <c r="G22">
        <v>28</v>
      </c>
      <c r="H22">
        <v>28</v>
      </c>
      <c r="I22">
        <v>1</v>
      </c>
      <c r="J22">
        <v>0</v>
      </c>
      <c r="K22">
        <v>1</v>
      </c>
      <c r="L22">
        <v>25</v>
      </c>
      <c r="M22">
        <v>6</v>
      </c>
      <c r="N22">
        <v>0</v>
      </c>
      <c r="O22">
        <v>5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</row>
    <row r="23" spans="1:26" x14ac:dyDescent="0.25">
      <c r="A23" t="s">
        <v>196</v>
      </c>
      <c r="B23" t="s">
        <v>79</v>
      </c>
      <c r="C23" t="s">
        <v>197</v>
      </c>
      <c r="D23" t="s">
        <v>6</v>
      </c>
      <c r="E23">
        <v>6</v>
      </c>
      <c r="F23" t="s">
        <v>81</v>
      </c>
      <c r="G23">
        <v>557.5</v>
      </c>
      <c r="H23">
        <v>79.64</v>
      </c>
      <c r="I23">
        <v>7</v>
      </c>
      <c r="J23">
        <v>7</v>
      </c>
      <c r="K23">
        <v>0</v>
      </c>
      <c r="L23">
        <v>320</v>
      </c>
      <c r="M23">
        <v>117</v>
      </c>
      <c r="N23">
        <v>6</v>
      </c>
      <c r="O23">
        <v>55</v>
      </c>
      <c r="P23">
        <v>5</v>
      </c>
      <c r="Q23">
        <v>1</v>
      </c>
      <c r="R23">
        <v>1</v>
      </c>
      <c r="S23">
        <v>4</v>
      </c>
      <c r="T23">
        <v>1</v>
      </c>
      <c r="U23">
        <v>0</v>
      </c>
      <c r="V23">
        <v>0</v>
      </c>
      <c r="W23">
        <v>0</v>
      </c>
      <c r="X23">
        <v>25.1</v>
      </c>
      <c r="Y23">
        <v>69</v>
      </c>
      <c r="Z23">
        <v>467</v>
      </c>
    </row>
    <row r="24" spans="1:26" x14ac:dyDescent="0.25">
      <c r="A24" t="s">
        <v>200</v>
      </c>
      <c r="B24" t="s">
        <v>79</v>
      </c>
      <c r="C24" t="s">
        <v>201</v>
      </c>
      <c r="D24" t="s">
        <v>6</v>
      </c>
      <c r="E24">
        <v>10</v>
      </c>
      <c r="F24" t="s">
        <v>81</v>
      </c>
      <c r="G24">
        <v>406.5</v>
      </c>
      <c r="H24">
        <v>67.75</v>
      </c>
      <c r="I24">
        <v>6</v>
      </c>
      <c r="J24">
        <v>4</v>
      </c>
      <c r="K24">
        <v>2</v>
      </c>
      <c r="L24">
        <v>198</v>
      </c>
      <c r="M24">
        <v>82</v>
      </c>
      <c r="N24">
        <v>6</v>
      </c>
      <c r="O24">
        <v>53</v>
      </c>
      <c r="P24">
        <v>3</v>
      </c>
      <c r="Q24">
        <v>0</v>
      </c>
      <c r="R24">
        <v>0</v>
      </c>
      <c r="S24">
        <v>4</v>
      </c>
      <c r="T24">
        <v>2</v>
      </c>
      <c r="U24">
        <v>1</v>
      </c>
      <c r="V24">
        <v>1</v>
      </c>
      <c r="W24">
        <v>0</v>
      </c>
      <c r="X24">
        <v>33.700000000000003</v>
      </c>
      <c r="Y24">
        <v>69.63</v>
      </c>
      <c r="Z24">
        <v>473</v>
      </c>
    </row>
    <row r="25" spans="1:26" x14ac:dyDescent="0.25">
      <c r="A25" t="s">
        <v>208</v>
      </c>
      <c r="B25" t="s">
        <v>79</v>
      </c>
      <c r="C25" t="s">
        <v>209</v>
      </c>
      <c r="D25" t="s">
        <v>6</v>
      </c>
      <c r="E25">
        <v>8</v>
      </c>
      <c r="F25" t="s">
        <v>92</v>
      </c>
      <c r="G25">
        <v>183.5</v>
      </c>
      <c r="H25">
        <v>36.700000000000003</v>
      </c>
      <c r="I25">
        <v>5</v>
      </c>
      <c r="J25">
        <v>1</v>
      </c>
      <c r="K25">
        <v>4</v>
      </c>
      <c r="L25">
        <v>139</v>
      </c>
      <c r="M25">
        <v>47</v>
      </c>
      <c r="N25">
        <v>0</v>
      </c>
      <c r="O25">
        <v>42</v>
      </c>
      <c r="P25">
        <v>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72.599999999999994</v>
      </c>
      <c r="Y25">
        <v>71.92</v>
      </c>
      <c r="Z25">
        <v>2</v>
      </c>
    </row>
    <row r="26" spans="1:26" x14ac:dyDescent="0.25">
      <c r="A26" t="s">
        <v>202</v>
      </c>
      <c r="B26" t="s">
        <v>79</v>
      </c>
      <c r="C26" t="s">
        <v>203</v>
      </c>
      <c r="D26" t="s">
        <v>6</v>
      </c>
      <c r="E26">
        <v>5</v>
      </c>
      <c r="F26" t="s">
        <v>81</v>
      </c>
      <c r="G26">
        <v>395</v>
      </c>
      <c r="H26">
        <v>65.83</v>
      </c>
      <c r="I26">
        <v>6</v>
      </c>
      <c r="J26">
        <v>6</v>
      </c>
      <c r="K26">
        <v>0</v>
      </c>
      <c r="L26">
        <v>273</v>
      </c>
      <c r="M26">
        <v>81</v>
      </c>
      <c r="N26">
        <v>2</v>
      </c>
      <c r="O26">
        <v>53</v>
      </c>
      <c r="P26">
        <v>5</v>
      </c>
      <c r="Q26">
        <v>0</v>
      </c>
      <c r="R26">
        <v>0</v>
      </c>
      <c r="S26">
        <v>1</v>
      </c>
      <c r="T26">
        <v>1</v>
      </c>
      <c r="U26">
        <v>1</v>
      </c>
      <c r="V26">
        <v>1</v>
      </c>
      <c r="W26">
        <v>0</v>
      </c>
      <c r="X26">
        <v>39.5</v>
      </c>
      <c r="Y26">
        <v>70.349999999999994</v>
      </c>
      <c r="Z26">
        <v>252</v>
      </c>
    </row>
    <row r="27" spans="1:26" x14ac:dyDescent="0.25">
      <c r="A27" t="s">
        <v>112</v>
      </c>
      <c r="B27" t="s">
        <v>79</v>
      </c>
      <c r="C27" t="s">
        <v>113</v>
      </c>
      <c r="D27" t="s">
        <v>6</v>
      </c>
      <c r="E27">
        <v>16</v>
      </c>
      <c r="F27" t="s">
        <v>92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212</v>
      </c>
      <c r="B28" t="s">
        <v>79</v>
      </c>
      <c r="C28" t="s">
        <v>213</v>
      </c>
      <c r="D28" t="s">
        <v>6</v>
      </c>
      <c r="E28">
        <v>11</v>
      </c>
      <c r="F28" t="s">
        <v>92</v>
      </c>
      <c r="G28">
        <v>83</v>
      </c>
      <c r="H28">
        <v>41.5</v>
      </c>
      <c r="I28">
        <v>2</v>
      </c>
      <c r="J28">
        <v>0</v>
      </c>
      <c r="K28">
        <v>2</v>
      </c>
      <c r="L28">
        <v>45</v>
      </c>
      <c r="M28">
        <v>24</v>
      </c>
      <c r="N28">
        <v>0</v>
      </c>
      <c r="O28">
        <v>19</v>
      </c>
      <c r="P28">
        <v>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73.5</v>
      </c>
      <c r="Y28">
        <v>71.8</v>
      </c>
      <c r="Z28">
        <v>0</v>
      </c>
    </row>
    <row r="29" spans="1:26" x14ac:dyDescent="0.25">
      <c r="A29" t="s">
        <v>204</v>
      </c>
      <c r="B29" t="s">
        <v>79</v>
      </c>
      <c r="C29" t="s">
        <v>205</v>
      </c>
      <c r="D29" t="s">
        <v>6</v>
      </c>
      <c r="E29">
        <v>4</v>
      </c>
      <c r="F29" t="s">
        <v>92</v>
      </c>
      <c r="G29">
        <v>465</v>
      </c>
      <c r="H29">
        <v>58.12</v>
      </c>
      <c r="I29">
        <v>8</v>
      </c>
      <c r="J29">
        <v>4</v>
      </c>
      <c r="K29">
        <v>4</v>
      </c>
      <c r="L29">
        <v>286</v>
      </c>
      <c r="M29">
        <v>95</v>
      </c>
      <c r="N29">
        <v>6</v>
      </c>
      <c r="O29">
        <v>58</v>
      </c>
      <c r="P29">
        <v>4</v>
      </c>
      <c r="Q29">
        <v>1</v>
      </c>
      <c r="R29">
        <v>1</v>
      </c>
      <c r="S29">
        <v>4</v>
      </c>
      <c r="T29">
        <v>0</v>
      </c>
      <c r="U29">
        <v>0</v>
      </c>
      <c r="V29">
        <v>0</v>
      </c>
      <c r="W29">
        <v>0</v>
      </c>
      <c r="X29">
        <v>42.3</v>
      </c>
      <c r="Y29">
        <v>69.52</v>
      </c>
      <c r="Z29">
        <v>216</v>
      </c>
    </row>
    <row r="30" spans="1:26" x14ac:dyDescent="0.25">
      <c r="A30" t="s">
        <v>206</v>
      </c>
      <c r="B30" t="s">
        <v>79</v>
      </c>
      <c r="C30" t="s">
        <v>207</v>
      </c>
      <c r="D30" t="s">
        <v>6</v>
      </c>
      <c r="E30">
        <v>9</v>
      </c>
      <c r="F30" t="s">
        <v>92</v>
      </c>
      <c r="G30">
        <v>221.5</v>
      </c>
      <c r="H30">
        <v>55.38</v>
      </c>
      <c r="I30">
        <v>4</v>
      </c>
      <c r="J30">
        <v>2</v>
      </c>
      <c r="K30">
        <v>2</v>
      </c>
      <c r="L30">
        <v>129</v>
      </c>
      <c r="M30">
        <v>51</v>
      </c>
      <c r="N30">
        <v>2</v>
      </c>
      <c r="O30">
        <v>30</v>
      </c>
      <c r="P30">
        <v>4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52.8</v>
      </c>
      <c r="Y30">
        <v>69.92</v>
      </c>
      <c r="Z30">
        <v>67</v>
      </c>
    </row>
    <row r="31" spans="1:26" x14ac:dyDescent="0.25">
      <c r="A31" t="s">
        <v>198</v>
      </c>
      <c r="B31" t="s">
        <v>79</v>
      </c>
      <c r="C31" t="s">
        <v>199</v>
      </c>
      <c r="D31" t="s">
        <v>6</v>
      </c>
      <c r="E31">
        <v>3</v>
      </c>
      <c r="F31" t="s">
        <v>81</v>
      </c>
      <c r="G31">
        <v>554</v>
      </c>
      <c r="H31">
        <v>79.14</v>
      </c>
      <c r="I31">
        <v>7</v>
      </c>
      <c r="J31">
        <v>7</v>
      </c>
      <c r="K31">
        <v>0</v>
      </c>
      <c r="L31">
        <v>291</v>
      </c>
      <c r="M31">
        <v>115</v>
      </c>
      <c r="N31">
        <v>6</v>
      </c>
      <c r="O31">
        <v>65</v>
      </c>
      <c r="P31">
        <v>9</v>
      </c>
      <c r="Q31">
        <v>0</v>
      </c>
      <c r="R31">
        <v>0</v>
      </c>
      <c r="S31">
        <v>4</v>
      </c>
      <c r="T31">
        <v>3</v>
      </c>
      <c r="U31">
        <v>2</v>
      </c>
      <c r="V31">
        <v>1</v>
      </c>
      <c r="W31">
        <v>0</v>
      </c>
      <c r="X31">
        <v>27.1</v>
      </c>
      <c r="Y31">
        <v>69.78</v>
      </c>
      <c r="Z31">
        <v>633</v>
      </c>
    </row>
    <row r="32" spans="1:26" x14ac:dyDescent="0.25">
      <c r="A32" t="s">
        <v>214</v>
      </c>
      <c r="B32" t="s">
        <v>79</v>
      </c>
      <c r="C32" t="s">
        <v>215</v>
      </c>
      <c r="D32" t="s">
        <v>6</v>
      </c>
      <c r="E32">
        <v>9</v>
      </c>
      <c r="F32" t="s">
        <v>92</v>
      </c>
      <c r="G32">
        <v>115</v>
      </c>
      <c r="H32">
        <v>57.5</v>
      </c>
      <c r="I32">
        <v>2</v>
      </c>
      <c r="J32">
        <v>2</v>
      </c>
      <c r="K32">
        <v>0</v>
      </c>
      <c r="L32">
        <v>86</v>
      </c>
      <c r="M32">
        <v>29</v>
      </c>
      <c r="N32">
        <v>0</v>
      </c>
      <c r="O32">
        <v>26</v>
      </c>
      <c r="P32">
        <v>3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64</v>
      </c>
      <c r="Y32">
        <v>71.38</v>
      </c>
      <c r="Z32">
        <v>9</v>
      </c>
    </row>
    <row r="33" spans="1:26" x14ac:dyDescent="0.25">
      <c r="A33" t="s">
        <v>192</v>
      </c>
      <c r="B33" t="s">
        <v>79</v>
      </c>
      <c r="C33" t="s">
        <v>193</v>
      </c>
      <c r="D33" t="s">
        <v>6</v>
      </c>
      <c r="E33">
        <v>2</v>
      </c>
      <c r="F33" t="s">
        <v>81</v>
      </c>
      <c r="G33">
        <v>500.5</v>
      </c>
      <c r="H33">
        <v>83.42</v>
      </c>
      <c r="I33">
        <v>6</v>
      </c>
      <c r="J33">
        <v>6</v>
      </c>
      <c r="K33">
        <v>0</v>
      </c>
      <c r="L33">
        <v>262</v>
      </c>
      <c r="M33">
        <v>93</v>
      </c>
      <c r="N33">
        <v>8</v>
      </c>
      <c r="O33">
        <v>47</v>
      </c>
      <c r="P33">
        <v>4</v>
      </c>
      <c r="Q33">
        <v>0</v>
      </c>
      <c r="R33">
        <v>0</v>
      </c>
      <c r="S33">
        <v>5</v>
      </c>
      <c r="T33">
        <v>3</v>
      </c>
      <c r="U33">
        <v>1</v>
      </c>
      <c r="V33">
        <v>1</v>
      </c>
      <c r="W33">
        <v>0</v>
      </c>
      <c r="X33">
        <v>15.5</v>
      </c>
      <c r="Y33">
        <v>69.13</v>
      </c>
      <c r="Z33">
        <v>879</v>
      </c>
    </row>
    <row r="34" spans="1:26" x14ac:dyDescent="0.25">
      <c r="A34" t="s">
        <v>220</v>
      </c>
      <c r="B34" t="s">
        <v>79</v>
      </c>
      <c r="C34" t="s">
        <v>221</v>
      </c>
      <c r="D34" t="s">
        <v>6</v>
      </c>
      <c r="E34">
        <v>7</v>
      </c>
      <c r="F34" t="s">
        <v>92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122</v>
      </c>
      <c r="B35" t="s">
        <v>79</v>
      </c>
      <c r="C35" t="s">
        <v>123</v>
      </c>
      <c r="D35" t="s">
        <v>5</v>
      </c>
      <c r="E35">
        <v>6</v>
      </c>
      <c r="F35" t="s">
        <v>81</v>
      </c>
      <c r="G35">
        <v>462</v>
      </c>
      <c r="H35">
        <v>66</v>
      </c>
      <c r="I35">
        <v>7</v>
      </c>
      <c r="J35">
        <v>6</v>
      </c>
      <c r="K35">
        <v>1</v>
      </c>
      <c r="L35">
        <v>275</v>
      </c>
      <c r="M35">
        <v>114</v>
      </c>
      <c r="N35">
        <v>0</v>
      </c>
      <c r="O35">
        <v>55</v>
      </c>
      <c r="P35">
        <v>4</v>
      </c>
      <c r="Q35">
        <v>2</v>
      </c>
      <c r="R35">
        <v>2</v>
      </c>
      <c r="S35">
        <v>1</v>
      </c>
      <c r="T35">
        <v>0</v>
      </c>
      <c r="U35">
        <v>0</v>
      </c>
      <c r="V35">
        <v>0</v>
      </c>
      <c r="W35">
        <v>0</v>
      </c>
      <c r="X35">
        <v>34.4</v>
      </c>
      <c r="Y35">
        <v>69.64</v>
      </c>
      <c r="Z35">
        <v>216</v>
      </c>
    </row>
    <row r="36" spans="1:26" x14ac:dyDescent="0.25">
      <c r="A36" t="s">
        <v>132</v>
      </c>
      <c r="B36" t="s">
        <v>79</v>
      </c>
      <c r="C36" t="s">
        <v>133</v>
      </c>
      <c r="D36" t="s">
        <v>5</v>
      </c>
      <c r="E36">
        <v>8</v>
      </c>
      <c r="F36" t="s">
        <v>81</v>
      </c>
      <c r="G36">
        <v>260.5</v>
      </c>
      <c r="H36">
        <v>43.42</v>
      </c>
      <c r="I36">
        <v>6</v>
      </c>
      <c r="J36">
        <v>3</v>
      </c>
      <c r="K36">
        <v>3</v>
      </c>
      <c r="L36">
        <v>202</v>
      </c>
      <c r="M36">
        <v>59</v>
      </c>
      <c r="N36">
        <v>2</v>
      </c>
      <c r="O36">
        <v>53</v>
      </c>
      <c r="P36">
        <v>6</v>
      </c>
      <c r="Q36">
        <v>2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66.2</v>
      </c>
      <c r="Y36">
        <v>71.56</v>
      </c>
      <c r="Z36">
        <v>21</v>
      </c>
    </row>
    <row r="37" spans="1:26" x14ac:dyDescent="0.25">
      <c r="A37" t="s">
        <v>130</v>
      </c>
      <c r="B37" t="s">
        <v>79</v>
      </c>
      <c r="C37" t="s">
        <v>131</v>
      </c>
      <c r="D37" t="s">
        <v>5</v>
      </c>
      <c r="E37">
        <v>7</v>
      </c>
      <c r="F37" t="s">
        <v>81</v>
      </c>
      <c r="G37">
        <v>311</v>
      </c>
      <c r="H37">
        <v>51.83</v>
      </c>
      <c r="I37">
        <v>6</v>
      </c>
      <c r="J37">
        <v>4</v>
      </c>
      <c r="K37">
        <v>2</v>
      </c>
      <c r="L37">
        <v>221</v>
      </c>
      <c r="M37">
        <v>69</v>
      </c>
      <c r="N37">
        <v>2</v>
      </c>
      <c r="O37">
        <v>43</v>
      </c>
      <c r="P37">
        <v>3</v>
      </c>
      <c r="Q37">
        <v>4</v>
      </c>
      <c r="R37">
        <v>4</v>
      </c>
      <c r="S37">
        <v>1</v>
      </c>
      <c r="T37">
        <v>0</v>
      </c>
      <c r="U37">
        <v>0</v>
      </c>
      <c r="V37">
        <v>0</v>
      </c>
      <c r="W37">
        <v>0</v>
      </c>
      <c r="X37">
        <v>53.5</v>
      </c>
      <c r="Y37">
        <v>70.790000000000006</v>
      </c>
      <c r="Z37">
        <v>169</v>
      </c>
    </row>
    <row r="38" spans="1:26" x14ac:dyDescent="0.25">
      <c r="A38" t="s">
        <v>158</v>
      </c>
      <c r="B38" t="s">
        <v>79</v>
      </c>
      <c r="C38" t="s">
        <v>159</v>
      </c>
      <c r="D38" t="s">
        <v>5</v>
      </c>
      <c r="E38">
        <v>11</v>
      </c>
      <c r="F38" t="s">
        <v>103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126</v>
      </c>
      <c r="B39" t="s">
        <v>79</v>
      </c>
      <c r="C39" t="s">
        <v>127</v>
      </c>
      <c r="D39" t="s">
        <v>5</v>
      </c>
      <c r="E39">
        <v>4</v>
      </c>
      <c r="F39" t="s">
        <v>81</v>
      </c>
      <c r="G39">
        <v>395</v>
      </c>
      <c r="H39">
        <v>65.83</v>
      </c>
      <c r="I39">
        <v>6</v>
      </c>
      <c r="J39">
        <v>5</v>
      </c>
      <c r="K39">
        <v>1</v>
      </c>
      <c r="L39">
        <v>247</v>
      </c>
      <c r="M39">
        <v>81</v>
      </c>
      <c r="N39">
        <v>2</v>
      </c>
      <c r="O39">
        <v>47</v>
      </c>
      <c r="P39">
        <v>1</v>
      </c>
      <c r="Q39">
        <v>0</v>
      </c>
      <c r="R39">
        <v>0</v>
      </c>
      <c r="S39">
        <v>3</v>
      </c>
      <c r="T39">
        <v>2</v>
      </c>
      <c r="U39">
        <v>2</v>
      </c>
      <c r="V39">
        <v>0</v>
      </c>
      <c r="W39">
        <v>0</v>
      </c>
      <c r="X39">
        <v>34.200000000000003</v>
      </c>
      <c r="Y39">
        <v>69.52</v>
      </c>
      <c r="Z39">
        <v>522</v>
      </c>
    </row>
    <row r="40" spans="1:26" x14ac:dyDescent="0.25">
      <c r="A40" t="s">
        <v>152</v>
      </c>
      <c r="B40" t="s">
        <v>79</v>
      </c>
      <c r="C40" t="s">
        <v>153</v>
      </c>
      <c r="D40" t="s">
        <v>5</v>
      </c>
      <c r="E40">
        <v>16</v>
      </c>
      <c r="F40" t="s">
        <v>92</v>
      </c>
      <c r="G40">
        <v>20</v>
      </c>
      <c r="H40">
        <v>20</v>
      </c>
      <c r="I40">
        <v>1</v>
      </c>
      <c r="J40">
        <v>0</v>
      </c>
      <c r="K40">
        <v>1</v>
      </c>
      <c r="L40">
        <v>31</v>
      </c>
      <c r="M40">
        <v>2</v>
      </c>
      <c r="N40">
        <v>0</v>
      </c>
      <c r="O40">
        <v>3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78</v>
      </c>
      <c r="Y40">
        <v>71.5</v>
      </c>
      <c r="Z40">
        <v>0</v>
      </c>
    </row>
    <row r="41" spans="1:26" x14ac:dyDescent="0.25">
      <c r="A41" t="s">
        <v>140</v>
      </c>
      <c r="B41" t="s">
        <v>79</v>
      </c>
      <c r="C41" t="s">
        <v>141</v>
      </c>
      <c r="D41" t="s">
        <v>5</v>
      </c>
      <c r="E41">
        <v>3</v>
      </c>
      <c r="F41" t="s">
        <v>103</v>
      </c>
      <c r="G41">
        <v>86</v>
      </c>
      <c r="H41">
        <v>86</v>
      </c>
      <c r="I41">
        <v>1</v>
      </c>
      <c r="J41">
        <v>1</v>
      </c>
      <c r="K41">
        <v>0</v>
      </c>
      <c r="L41">
        <v>50</v>
      </c>
      <c r="M41">
        <v>14</v>
      </c>
      <c r="N41">
        <v>2</v>
      </c>
      <c r="O41">
        <v>6</v>
      </c>
      <c r="P41">
        <v>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13</v>
      </c>
      <c r="Y41">
        <v>67</v>
      </c>
      <c r="Z41">
        <v>55</v>
      </c>
    </row>
    <row r="42" spans="1:26" x14ac:dyDescent="0.25">
      <c r="A42" t="s">
        <v>120</v>
      </c>
      <c r="B42" t="s">
        <v>79</v>
      </c>
      <c r="C42" t="s">
        <v>121</v>
      </c>
      <c r="D42" t="s">
        <v>5</v>
      </c>
      <c r="E42">
        <v>9</v>
      </c>
      <c r="F42" t="s">
        <v>92</v>
      </c>
      <c r="G42">
        <v>499</v>
      </c>
      <c r="H42">
        <v>62.38</v>
      </c>
      <c r="I42">
        <v>8</v>
      </c>
      <c r="J42">
        <v>6</v>
      </c>
      <c r="K42">
        <v>2</v>
      </c>
      <c r="L42">
        <v>304</v>
      </c>
      <c r="M42">
        <v>112</v>
      </c>
      <c r="N42">
        <v>3</v>
      </c>
      <c r="O42">
        <v>60</v>
      </c>
      <c r="P42">
        <v>7</v>
      </c>
      <c r="Q42">
        <v>0</v>
      </c>
      <c r="R42">
        <v>0</v>
      </c>
      <c r="S42">
        <v>3</v>
      </c>
      <c r="T42">
        <v>1</v>
      </c>
      <c r="U42">
        <v>0</v>
      </c>
      <c r="V42">
        <v>0</v>
      </c>
      <c r="W42">
        <v>0</v>
      </c>
      <c r="X42">
        <v>42.6</v>
      </c>
      <c r="Y42">
        <v>69.7</v>
      </c>
      <c r="Z42">
        <v>301</v>
      </c>
    </row>
    <row r="43" spans="1:26" x14ac:dyDescent="0.25">
      <c r="A43" t="s">
        <v>128</v>
      </c>
      <c r="B43" t="s">
        <v>79</v>
      </c>
      <c r="C43" t="s">
        <v>129</v>
      </c>
      <c r="D43" t="s">
        <v>5</v>
      </c>
      <c r="E43">
        <v>1</v>
      </c>
      <c r="F43" t="s">
        <v>81</v>
      </c>
      <c r="G43">
        <v>369</v>
      </c>
      <c r="H43">
        <v>61.5</v>
      </c>
      <c r="I43">
        <v>6</v>
      </c>
      <c r="J43">
        <v>5</v>
      </c>
      <c r="K43">
        <v>1</v>
      </c>
      <c r="L43">
        <v>244</v>
      </c>
      <c r="M43">
        <v>80</v>
      </c>
      <c r="N43">
        <v>2</v>
      </c>
      <c r="O43">
        <v>46</v>
      </c>
      <c r="P43">
        <v>3</v>
      </c>
      <c r="Q43">
        <v>3</v>
      </c>
      <c r="R43">
        <v>3</v>
      </c>
      <c r="S43">
        <v>3</v>
      </c>
      <c r="T43">
        <v>1</v>
      </c>
      <c r="U43">
        <v>0</v>
      </c>
      <c r="V43">
        <v>0</v>
      </c>
      <c r="W43">
        <v>0</v>
      </c>
      <c r="X43">
        <v>40</v>
      </c>
      <c r="Y43">
        <v>70.709999999999994</v>
      </c>
      <c r="Z43">
        <v>372</v>
      </c>
    </row>
    <row r="44" spans="1:26" x14ac:dyDescent="0.25">
      <c r="A44" t="s">
        <v>138</v>
      </c>
      <c r="B44" t="s">
        <v>79</v>
      </c>
      <c r="C44" t="s">
        <v>139</v>
      </c>
      <c r="D44" t="s">
        <v>5</v>
      </c>
      <c r="E44">
        <v>16</v>
      </c>
      <c r="F44" t="s">
        <v>92</v>
      </c>
      <c r="G44">
        <v>98</v>
      </c>
      <c r="H44">
        <v>98</v>
      </c>
      <c r="I44">
        <v>1</v>
      </c>
      <c r="J44">
        <v>1</v>
      </c>
      <c r="K44">
        <v>0</v>
      </c>
      <c r="L44">
        <v>46</v>
      </c>
      <c r="M44">
        <v>20</v>
      </c>
      <c r="N44">
        <v>0</v>
      </c>
      <c r="O44">
        <v>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0</v>
      </c>
      <c r="X44">
        <v>3</v>
      </c>
      <c r="Y44">
        <v>67.5</v>
      </c>
      <c r="Z44">
        <v>145</v>
      </c>
    </row>
    <row r="45" spans="1:26" x14ac:dyDescent="0.25">
      <c r="A45" t="s">
        <v>134</v>
      </c>
      <c r="B45" t="s">
        <v>79</v>
      </c>
      <c r="C45" t="s">
        <v>135</v>
      </c>
      <c r="D45" t="s">
        <v>5</v>
      </c>
      <c r="E45">
        <v>16</v>
      </c>
      <c r="F45" t="s">
        <v>92</v>
      </c>
      <c r="G45">
        <v>268.5</v>
      </c>
      <c r="H45">
        <v>53.7</v>
      </c>
      <c r="I45">
        <v>5</v>
      </c>
      <c r="J45">
        <v>3</v>
      </c>
      <c r="K45">
        <v>2</v>
      </c>
      <c r="L45">
        <v>184</v>
      </c>
      <c r="M45">
        <v>59</v>
      </c>
      <c r="N45">
        <v>2</v>
      </c>
      <c r="O45">
        <v>41</v>
      </c>
      <c r="P45">
        <v>2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51.8</v>
      </c>
      <c r="Y45">
        <v>69.88</v>
      </c>
      <c r="Z45">
        <v>47</v>
      </c>
    </row>
    <row r="46" spans="1:26" x14ac:dyDescent="0.25">
      <c r="A46" t="s">
        <v>154</v>
      </c>
      <c r="B46" t="s">
        <v>79</v>
      </c>
      <c r="C46" t="s">
        <v>155</v>
      </c>
      <c r="D46" t="s">
        <v>5</v>
      </c>
      <c r="E46">
        <v>12</v>
      </c>
      <c r="F46" t="s">
        <v>92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150</v>
      </c>
      <c r="B47" t="s">
        <v>79</v>
      </c>
      <c r="C47" t="s">
        <v>151</v>
      </c>
      <c r="D47" t="s">
        <v>5</v>
      </c>
      <c r="E47">
        <v>16</v>
      </c>
      <c r="F47" t="s">
        <v>92</v>
      </c>
      <c r="G47">
        <v>46.5</v>
      </c>
      <c r="H47">
        <v>23.25</v>
      </c>
      <c r="I47">
        <v>2</v>
      </c>
      <c r="J47">
        <v>0</v>
      </c>
      <c r="K47">
        <v>2</v>
      </c>
      <c r="L47">
        <v>45</v>
      </c>
      <c r="M47">
        <v>11</v>
      </c>
      <c r="N47">
        <v>0</v>
      </c>
      <c r="O47">
        <v>14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72</v>
      </c>
      <c r="Y47">
        <v>72.75</v>
      </c>
      <c r="Z47">
        <v>0</v>
      </c>
    </row>
    <row r="48" spans="1:26" x14ac:dyDescent="0.25">
      <c r="A48" t="s">
        <v>144</v>
      </c>
      <c r="B48" t="s">
        <v>79</v>
      </c>
      <c r="C48" t="s">
        <v>145</v>
      </c>
      <c r="D48" t="s">
        <v>5</v>
      </c>
      <c r="E48">
        <v>10</v>
      </c>
      <c r="F48" t="s">
        <v>103</v>
      </c>
      <c r="G48">
        <v>52</v>
      </c>
      <c r="H48">
        <v>52</v>
      </c>
      <c r="I48">
        <v>1</v>
      </c>
      <c r="J48">
        <v>1</v>
      </c>
      <c r="K48">
        <v>0</v>
      </c>
      <c r="L48">
        <v>53</v>
      </c>
      <c r="M48">
        <v>10</v>
      </c>
      <c r="N48">
        <v>0</v>
      </c>
      <c r="O48">
        <v>9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74</v>
      </c>
      <c r="Y48">
        <v>69.75</v>
      </c>
      <c r="Z48">
        <v>2</v>
      </c>
    </row>
    <row r="49" spans="1:26" x14ac:dyDescent="0.25">
      <c r="A49" t="s">
        <v>124</v>
      </c>
      <c r="B49" t="s">
        <v>79</v>
      </c>
      <c r="C49" t="s">
        <v>125</v>
      </c>
      <c r="D49" t="s">
        <v>5</v>
      </c>
      <c r="E49">
        <v>2</v>
      </c>
      <c r="F49" t="s">
        <v>81</v>
      </c>
      <c r="G49">
        <v>468</v>
      </c>
      <c r="H49">
        <v>52</v>
      </c>
      <c r="I49">
        <v>9</v>
      </c>
      <c r="J49">
        <v>6</v>
      </c>
      <c r="K49">
        <v>3</v>
      </c>
      <c r="L49">
        <v>341</v>
      </c>
      <c r="M49">
        <v>104</v>
      </c>
      <c r="N49">
        <v>2</v>
      </c>
      <c r="O49">
        <v>65</v>
      </c>
      <c r="P49">
        <v>9</v>
      </c>
      <c r="Q49">
        <v>1</v>
      </c>
      <c r="R49">
        <v>1</v>
      </c>
      <c r="S49">
        <v>2</v>
      </c>
      <c r="T49">
        <v>0</v>
      </c>
      <c r="U49">
        <v>0</v>
      </c>
      <c r="V49">
        <v>0</v>
      </c>
      <c r="W49">
        <v>0</v>
      </c>
      <c r="X49">
        <v>52.9</v>
      </c>
      <c r="Y49">
        <v>70.83</v>
      </c>
      <c r="Z49">
        <v>198</v>
      </c>
    </row>
    <row r="50" spans="1:26" x14ac:dyDescent="0.25">
      <c r="A50" t="s">
        <v>112</v>
      </c>
      <c r="B50" t="s">
        <v>79</v>
      </c>
      <c r="C50" t="s">
        <v>113</v>
      </c>
      <c r="D50" t="s">
        <v>5</v>
      </c>
      <c r="E50">
        <v>5</v>
      </c>
      <c r="F50" t="s">
        <v>103</v>
      </c>
      <c r="G50">
        <v>48</v>
      </c>
      <c r="H50">
        <v>24</v>
      </c>
      <c r="I50">
        <v>2</v>
      </c>
      <c r="J50">
        <v>0</v>
      </c>
      <c r="K50">
        <v>2</v>
      </c>
      <c r="L50">
        <v>42</v>
      </c>
      <c r="M50">
        <v>12</v>
      </c>
      <c r="N50">
        <v>0</v>
      </c>
      <c r="O50">
        <v>18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65.5</v>
      </c>
      <c r="Y50">
        <v>73</v>
      </c>
      <c r="Z50">
        <v>0</v>
      </c>
    </row>
    <row r="51" spans="1:26" x14ac:dyDescent="0.25">
      <c r="A51" t="s">
        <v>136</v>
      </c>
      <c r="B51" t="s">
        <v>79</v>
      </c>
      <c r="C51" t="s">
        <v>137</v>
      </c>
      <c r="D51" t="s">
        <v>5</v>
      </c>
      <c r="E51">
        <v>14</v>
      </c>
      <c r="F51" t="s">
        <v>92</v>
      </c>
      <c r="G51">
        <v>254.5</v>
      </c>
      <c r="H51">
        <v>63.62</v>
      </c>
      <c r="I51">
        <v>4</v>
      </c>
      <c r="J51">
        <v>3</v>
      </c>
      <c r="K51">
        <v>1</v>
      </c>
      <c r="L51">
        <v>160</v>
      </c>
      <c r="M51">
        <v>61</v>
      </c>
      <c r="N51">
        <v>2</v>
      </c>
      <c r="O51">
        <v>43</v>
      </c>
      <c r="P51">
        <v>3</v>
      </c>
      <c r="Q51">
        <v>1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61.5</v>
      </c>
      <c r="Y51">
        <v>70.13</v>
      </c>
      <c r="Z51">
        <v>16</v>
      </c>
    </row>
    <row r="52" spans="1:26" x14ac:dyDescent="0.25">
      <c r="A52" t="s">
        <v>146</v>
      </c>
      <c r="B52" t="s">
        <v>79</v>
      </c>
      <c r="C52" t="s">
        <v>147</v>
      </c>
      <c r="D52" t="s">
        <v>5</v>
      </c>
      <c r="E52">
        <v>16</v>
      </c>
      <c r="F52" t="s">
        <v>92</v>
      </c>
      <c r="G52">
        <v>144</v>
      </c>
      <c r="H52">
        <v>48</v>
      </c>
      <c r="I52">
        <v>3</v>
      </c>
      <c r="J52">
        <v>2</v>
      </c>
      <c r="K52">
        <v>1</v>
      </c>
      <c r="L52">
        <v>116</v>
      </c>
      <c r="M52">
        <v>34</v>
      </c>
      <c r="N52">
        <v>0</v>
      </c>
      <c r="O52">
        <v>26</v>
      </c>
      <c r="P52">
        <v>3</v>
      </c>
      <c r="Q52">
        <v>1</v>
      </c>
      <c r="R52">
        <v>1</v>
      </c>
      <c r="S52">
        <v>0</v>
      </c>
      <c r="T52">
        <v>0</v>
      </c>
      <c r="U52">
        <v>0</v>
      </c>
      <c r="V52">
        <v>0</v>
      </c>
      <c r="W52">
        <v>0</v>
      </c>
      <c r="X52">
        <v>57.3</v>
      </c>
      <c r="Y52">
        <v>70.7</v>
      </c>
      <c r="Z52">
        <v>14</v>
      </c>
    </row>
    <row r="53" spans="1:26" x14ac:dyDescent="0.25">
      <c r="A53" t="s">
        <v>156</v>
      </c>
      <c r="B53" t="s">
        <v>79</v>
      </c>
      <c r="C53" t="s">
        <v>157</v>
      </c>
      <c r="D53" t="s">
        <v>5</v>
      </c>
      <c r="E53">
        <v>15</v>
      </c>
      <c r="F53" t="s">
        <v>103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148</v>
      </c>
      <c r="B54" t="s">
        <v>79</v>
      </c>
      <c r="C54" t="s">
        <v>149</v>
      </c>
      <c r="D54" t="s">
        <v>5</v>
      </c>
      <c r="E54">
        <v>16</v>
      </c>
      <c r="F54" t="s">
        <v>103</v>
      </c>
      <c r="G54">
        <v>31</v>
      </c>
      <c r="H54">
        <v>31</v>
      </c>
      <c r="I54">
        <v>1</v>
      </c>
      <c r="J54">
        <v>0</v>
      </c>
      <c r="K54">
        <v>1</v>
      </c>
      <c r="L54">
        <v>19</v>
      </c>
      <c r="M54">
        <v>9</v>
      </c>
      <c r="N54">
        <v>0</v>
      </c>
      <c r="O54">
        <v>5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66</v>
      </c>
      <c r="Y54">
        <v>72</v>
      </c>
      <c r="Z54">
        <v>0</v>
      </c>
    </row>
    <row r="55" spans="1:26" x14ac:dyDescent="0.25">
      <c r="A55" t="s">
        <v>142</v>
      </c>
      <c r="B55" t="s">
        <v>79</v>
      </c>
      <c r="C55" t="s">
        <v>143</v>
      </c>
      <c r="D55" t="s">
        <v>5</v>
      </c>
      <c r="E55">
        <v>13</v>
      </c>
      <c r="F55" t="s">
        <v>92</v>
      </c>
      <c r="G55">
        <v>60</v>
      </c>
      <c r="H55">
        <v>60</v>
      </c>
      <c r="I55">
        <v>1</v>
      </c>
      <c r="J55">
        <v>0</v>
      </c>
      <c r="K55">
        <v>1</v>
      </c>
      <c r="L55">
        <v>33</v>
      </c>
      <c r="M55">
        <v>16</v>
      </c>
      <c r="N55">
        <v>0</v>
      </c>
      <c r="O55">
        <v>1</v>
      </c>
      <c r="P55">
        <v>3</v>
      </c>
      <c r="Q55">
        <v>1</v>
      </c>
      <c r="R55">
        <v>1</v>
      </c>
      <c r="S55">
        <v>0</v>
      </c>
      <c r="T55">
        <v>0</v>
      </c>
      <c r="U55">
        <v>0</v>
      </c>
      <c r="V55">
        <v>0</v>
      </c>
      <c r="W55">
        <v>0</v>
      </c>
      <c r="X55">
        <v>68</v>
      </c>
      <c r="Y55">
        <v>70.33</v>
      </c>
      <c r="Z55">
        <v>0</v>
      </c>
    </row>
    <row r="56" spans="1:26" x14ac:dyDescent="0.25">
      <c r="A56" t="s">
        <v>244</v>
      </c>
      <c r="B56" t="s">
        <v>79</v>
      </c>
      <c r="C56" t="s">
        <v>245</v>
      </c>
      <c r="D56" t="s">
        <v>0</v>
      </c>
      <c r="E56">
        <v>16</v>
      </c>
      <c r="F56" t="s">
        <v>103</v>
      </c>
      <c r="G56">
        <v>76.5</v>
      </c>
      <c r="H56">
        <v>76.5</v>
      </c>
      <c r="I56">
        <v>1</v>
      </c>
      <c r="J56">
        <v>1</v>
      </c>
      <c r="K56">
        <v>0</v>
      </c>
      <c r="L56">
        <v>46</v>
      </c>
      <c r="M56">
        <v>18</v>
      </c>
      <c r="N56">
        <v>0</v>
      </c>
      <c r="O56">
        <v>7</v>
      </c>
      <c r="P56">
        <v>1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24</v>
      </c>
      <c r="Y56">
        <v>68.75</v>
      </c>
      <c r="Z56">
        <v>31</v>
      </c>
    </row>
    <row r="57" spans="1:26" x14ac:dyDescent="0.25">
      <c r="A57" t="s">
        <v>110</v>
      </c>
      <c r="B57" t="s">
        <v>79</v>
      </c>
      <c r="C57" t="s">
        <v>111</v>
      </c>
      <c r="D57" t="s">
        <v>0</v>
      </c>
      <c r="E57">
        <v>16</v>
      </c>
      <c r="F57" t="s">
        <v>92</v>
      </c>
      <c r="G57">
        <v>241.5</v>
      </c>
      <c r="H57">
        <v>80.5</v>
      </c>
      <c r="I57">
        <v>3</v>
      </c>
      <c r="J57">
        <v>3</v>
      </c>
      <c r="K57">
        <v>0</v>
      </c>
      <c r="L57">
        <v>139</v>
      </c>
      <c r="M57">
        <v>51</v>
      </c>
      <c r="N57">
        <v>1</v>
      </c>
      <c r="O57">
        <v>24</v>
      </c>
      <c r="P57">
        <v>1</v>
      </c>
      <c r="Q57">
        <v>0</v>
      </c>
      <c r="R57">
        <v>0</v>
      </c>
      <c r="S57">
        <v>3</v>
      </c>
      <c r="T57">
        <v>2</v>
      </c>
      <c r="U57">
        <v>0</v>
      </c>
      <c r="V57">
        <v>0</v>
      </c>
      <c r="W57">
        <v>0</v>
      </c>
      <c r="X57">
        <v>9.3000000000000007</v>
      </c>
      <c r="Y57">
        <v>68.42</v>
      </c>
      <c r="Z57">
        <v>207</v>
      </c>
    </row>
    <row r="58" spans="1:26" x14ac:dyDescent="0.25">
      <c r="A58" t="s">
        <v>240</v>
      </c>
      <c r="B58" t="s">
        <v>79</v>
      </c>
      <c r="C58" t="s">
        <v>241</v>
      </c>
      <c r="D58" t="s">
        <v>0</v>
      </c>
      <c r="E58">
        <v>8</v>
      </c>
      <c r="F58" t="s">
        <v>81</v>
      </c>
      <c r="G58">
        <v>336</v>
      </c>
      <c r="H58">
        <v>67.2</v>
      </c>
      <c r="I58">
        <v>5</v>
      </c>
      <c r="J58">
        <v>4</v>
      </c>
      <c r="K58">
        <v>1</v>
      </c>
      <c r="L58">
        <v>193</v>
      </c>
      <c r="M58">
        <v>79</v>
      </c>
      <c r="N58">
        <v>2</v>
      </c>
      <c r="O58">
        <v>47</v>
      </c>
      <c r="P58">
        <v>3</v>
      </c>
      <c r="Q58">
        <v>0</v>
      </c>
      <c r="R58">
        <v>0</v>
      </c>
      <c r="S58">
        <v>1</v>
      </c>
      <c r="T58">
        <v>1</v>
      </c>
      <c r="U58">
        <v>0</v>
      </c>
      <c r="V58">
        <v>0</v>
      </c>
      <c r="W58">
        <v>0</v>
      </c>
      <c r="X58">
        <v>47.2</v>
      </c>
      <c r="Y58">
        <v>69.67</v>
      </c>
      <c r="Z58">
        <v>155</v>
      </c>
    </row>
    <row r="59" spans="1:26" x14ac:dyDescent="0.25">
      <c r="A59" t="s">
        <v>260</v>
      </c>
      <c r="B59" t="s">
        <v>79</v>
      </c>
      <c r="C59" t="s">
        <v>261</v>
      </c>
      <c r="D59" t="s">
        <v>0</v>
      </c>
      <c r="E59">
        <v>14</v>
      </c>
      <c r="F59" t="s">
        <v>103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222</v>
      </c>
      <c r="B60" t="s">
        <v>79</v>
      </c>
      <c r="C60" t="s">
        <v>223</v>
      </c>
      <c r="D60" t="s">
        <v>0</v>
      </c>
      <c r="E60">
        <v>6</v>
      </c>
      <c r="F60" t="s">
        <v>92</v>
      </c>
      <c r="G60">
        <v>586.5</v>
      </c>
      <c r="H60">
        <v>73.31</v>
      </c>
      <c r="I60">
        <v>8</v>
      </c>
      <c r="J60">
        <v>8</v>
      </c>
      <c r="K60">
        <v>0</v>
      </c>
      <c r="L60">
        <v>355</v>
      </c>
      <c r="M60">
        <v>124</v>
      </c>
      <c r="N60">
        <v>5</v>
      </c>
      <c r="O60">
        <v>68</v>
      </c>
      <c r="P60">
        <v>6</v>
      </c>
      <c r="Q60">
        <v>0</v>
      </c>
      <c r="R60">
        <v>0</v>
      </c>
      <c r="S60">
        <v>5</v>
      </c>
      <c r="T60">
        <v>2</v>
      </c>
      <c r="U60">
        <v>0</v>
      </c>
      <c r="V60">
        <v>0</v>
      </c>
      <c r="W60">
        <v>0</v>
      </c>
      <c r="X60">
        <v>25.3</v>
      </c>
      <c r="Y60">
        <v>69.61</v>
      </c>
      <c r="Z60">
        <v>518</v>
      </c>
    </row>
    <row r="61" spans="1:26" x14ac:dyDescent="0.25">
      <c r="A61" t="s">
        <v>250</v>
      </c>
      <c r="B61" t="s">
        <v>79</v>
      </c>
      <c r="C61" t="s">
        <v>251</v>
      </c>
      <c r="D61" t="s">
        <v>0</v>
      </c>
      <c r="E61">
        <v>13</v>
      </c>
      <c r="F61" t="s">
        <v>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5">
      <c r="A62" t="s">
        <v>246</v>
      </c>
      <c r="B62" t="s">
        <v>79</v>
      </c>
      <c r="C62" t="s">
        <v>247</v>
      </c>
      <c r="D62" t="s">
        <v>0</v>
      </c>
      <c r="E62">
        <v>9</v>
      </c>
      <c r="F62" t="s">
        <v>103</v>
      </c>
      <c r="G62">
        <v>62.5</v>
      </c>
      <c r="H62">
        <v>31.25</v>
      </c>
      <c r="I62">
        <v>2</v>
      </c>
      <c r="J62">
        <v>1</v>
      </c>
      <c r="K62">
        <v>1</v>
      </c>
      <c r="L62">
        <v>61</v>
      </c>
      <c r="M62">
        <v>14</v>
      </c>
      <c r="N62">
        <v>0</v>
      </c>
      <c r="O62">
        <v>10</v>
      </c>
      <c r="P62">
        <v>3</v>
      </c>
      <c r="Q62">
        <v>2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68.5</v>
      </c>
      <c r="Y62">
        <v>73.2</v>
      </c>
      <c r="Z62">
        <v>6</v>
      </c>
    </row>
    <row r="63" spans="1:26" x14ac:dyDescent="0.25">
      <c r="A63" t="s">
        <v>256</v>
      </c>
      <c r="B63" t="s">
        <v>79</v>
      </c>
      <c r="C63" t="s">
        <v>257</v>
      </c>
      <c r="D63" t="s">
        <v>0</v>
      </c>
      <c r="E63">
        <v>16</v>
      </c>
      <c r="F63" t="s">
        <v>103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 t="s">
        <v>224</v>
      </c>
      <c r="B64" t="s">
        <v>79</v>
      </c>
      <c r="C64" t="s">
        <v>225</v>
      </c>
      <c r="D64" t="s">
        <v>0</v>
      </c>
      <c r="E64">
        <v>1</v>
      </c>
      <c r="F64" t="s">
        <v>81</v>
      </c>
      <c r="G64">
        <v>754</v>
      </c>
      <c r="H64">
        <v>107.71</v>
      </c>
      <c r="I64">
        <v>7</v>
      </c>
      <c r="J64">
        <v>7</v>
      </c>
      <c r="K64">
        <v>0</v>
      </c>
      <c r="L64">
        <v>297</v>
      </c>
      <c r="M64">
        <v>143</v>
      </c>
      <c r="N64">
        <v>4</v>
      </c>
      <c r="O64">
        <v>39</v>
      </c>
      <c r="P64">
        <v>3</v>
      </c>
      <c r="Q64">
        <v>0</v>
      </c>
      <c r="R64">
        <v>0</v>
      </c>
      <c r="S64">
        <v>7</v>
      </c>
      <c r="T64">
        <v>6</v>
      </c>
      <c r="U64">
        <v>4</v>
      </c>
      <c r="V64">
        <v>4</v>
      </c>
      <c r="W64">
        <v>2</v>
      </c>
      <c r="X64">
        <v>5.7</v>
      </c>
      <c r="Y64">
        <v>67.48</v>
      </c>
      <c r="Z64" s="6">
        <v>2216</v>
      </c>
    </row>
    <row r="65" spans="1:26" x14ac:dyDescent="0.25">
      <c r="A65" t="s">
        <v>254</v>
      </c>
      <c r="B65" t="s">
        <v>79</v>
      </c>
      <c r="C65" t="s">
        <v>255</v>
      </c>
      <c r="D65" t="s">
        <v>0</v>
      </c>
      <c r="E65">
        <v>16</v>
      </c>
      <c r="F65" t="s">
        <v>92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25">
      <c r="A66" t="s">
        <v>232</v>
      </c>
      <c r="B66" t="s">
        <v>79</v>
      </c>
      <c r="C66" t="s">
        <v>233</v>
      </c>
      <c r="D66" t="s">
        <v>0</v>
      </c>
      <c r="E66">
        <v>2</v>
      </c>
      <c r="F66" t="s">
        <v>81</v>
      </c>
      <c r="G66">
        <v>373</v>
      </c>
      <c r="H66">
        <v>62.17</v>
      </c>
      <c r="I66">
        <v>6</v>
      </c>
      <c r="J66">
        <v>4</v>
      </c>
      <c r="K66">
        <v>2</v>
      </c>
      <c r="L66">
        <v>233</v>
      </c>
      <c r="M66">
        <v>70</v>
      </c>
      <c r="N66">
        <v>3</v>
      </c>
      <c r="O66">
        <v>49</v>
      </c>
      <c r="P66">
        <v>4</v>
      </c>
      <c r="Q66">
        <v>1</v>
      </c>
      <c r="R66">
        <v>1</v>
      </c>
      <c r="S66">
        <v>3</v>
      </c>
      <c r="T66">
        <v>2</v>
      </c>
      <c r="U66">
        <v>2</v>
      </c>
      <c r="V66">
        <v>1</v>
      </c>
      <c r="W66">
        <v>0</v>
      </c>
      <c r="X66">
        <v>41.5</v>
      </c>
      <c r="Y66">
        <v>70.400000000000006</v>
      </c>
      <c r="Z66">
        <v>743</v>
      </c>
    </row>
    <row r="67" spans="1:26" x14ac:dyDescent="0.25">
      <c r="A67" t="s">
        <v>226</v>
      </c>
      <c r="B67" t="s">
        <v>79</v>
      </c>
      <c r="C67" t="s">
        <v>227</v>
      </c>
      <c r="D67" t="s">
        <v>0</v>
      </c>
      <c r="E67">
        <v>15</v>
      </c>
      <c r="F67" t="s">
        <v>81</v>
      </c>
      <c r="G67">
        <v>544</v>
      </c>
      <c r="H67">
        <v>68</v>
      </c>
      <c r="I67">
        <v>8</v>
      </c>
      <c r="J67">
        <v>6</v>
      </c>
      <c r="K67">
        <v>2</v>
      </c>
      <c r="L67">
        <v>302</v>
      </c>
      <c r="M67">
        <v>119</v>
      </c>
      <c r="N67">
        <v>3</v>
      </c>
      <c r="O67">
        <v>56</v>
      </c>
      <c r="P67">
        <v>6</v>
      </c>
      <c r="Q67">
        <v>0</v>
      </c>
      <c r="R67">
        <v>0</v>
      </c>
      <c r="S67">
        <v>4</v>
      </c>
      <c r="T67">
        <v>2</v>
      </c>
      <c r="U67">
        <v>1</v>
      </c>
      <c r="V67">
        <v>1</v>
      </c>
      <c r="W67">
        <v>0</v>
      </c>
      <c r="X67">
        <v>34.4</v>
      </c>
      <c r="Y67">
        <v>69.37</v>
      </c>
      <c r="Z67">
        <v>571</v>
      </c>
    </row>
    <row r="68" spans="1:26" x14ac:dyDescent="0.25">
      <c r="A68" t="s">
        <v>228</v>
      </c>
      <c r="B68" t="s">
        <v>79</v>
      </c>
      <c r="C68" t="s">
        <v>229</v>
      </c>
      <c r="D68" t="s">
        <v>0</v>
      </c>
      <c r="E68">
        <v>10</v>
      </c>
      <c r="F68" t="s">
        <v>81</v>
      </c>
      <c r="G68">
        <v>561.5</v>
      </c>
      <c r="H68">
        <v>70.19</v>
      </c>
      <c r="I68">
        <v>8</v>
      </c>
      <c r="J68">
        <v>6</v>
      </c>
      <c r="K68">
        <v>2</v>
      </c>
      <c r="L68">
        <v>306</v>
      </c>
      <c r="M68">
        <v>123</v>
      </c>
      <c r="N68">
        <v>6</v>
      </c>
      <c r="O68">
        <v>59</v>
      </c>
      <c r="P68">
        <v>10</v>
      </c>
      <c r="Q68">
        <v>0</v>
      </c>
      <c r="R68">
        <v>0</v>
      </c>
      <c r="S68">
        <v>5</v>
      </c>
      <c r="T68">
        <v>2</v>
      </c>
      <c r="U68">
        <v>0</v>
      </c>
      <c r="V68">
        <v>0</v>
      </c>
      <c r="W68">
        <v>0</v>
      </c>
      <c r="X68">
        <v>38.299999999999997</v>
      </c>
      <c r="Y68">
        <v>69.290000000000006</v>
      </c>
      <c r="Z68">
        <v>282</v>
      </c>
    </row>
    <row r="69" spans="1:26" x14ac:dyDescent="0.25">
      <c r="A69" t="s">
        <v>236</v>
      </c>
      <c r="B69" t="s">
        <v>79</v>
      </c>
      <c r="C69" t="s">
        <v>237</v>
      </c>
      <c r="D69" t="s">
        <v>0</v>
      </c>
      <c r="E69">
        <v>5</v>
      </c>
      <c r="F69" t="s">
        <v>92</v>
      </c>
      <c r="G69">
        <v>311</v>
      </c>
      <c r="H69">
        <v>62.2</v>
      </c>
      <c r="I69">
        <v>5</v>
      </c>
      <c r="J69">
        <v>4</v>
      </c>
      <c r="K69">
        <v>1</v>
      </c>
      <c r="L69">
        <v>210</v>
      </c>
      <c r="M69">
        <v>66</v>
      </c>
      <c r="N69">
        <v>2</v>
      </c>
      <c r="O69">
        <v>42</v>
      </c>
      <c r="P69">
        <v>4</v>
      </c>
      <c r="Q69">
        <v>0</v>
      </c>
      <c r="R69">
        <v>0</v>
      </c>
      <c r="S69">
        <v>2</v>
      </c>
      <c r="T69">
        <v>1</v>
      </c>
      <c r="U69">
        <v>0</v>
      </c>
      <c r="V69">
        <v>0</v>
      </c>
      <c r="W69">
        <v>0</v>
      </c>
      <c r="X69">
        <v>33.200000000000003</v>
      </c>
      <c r="Y69">
        <v>69.56</v>
      </c>
      <c r="Z69">
        <v>147</v>
      </c>
    </row>
    <row r="70" spans="1:26" x14ac:dyDescent="0.25">
      <c r="A70" t="s">
        <v>238</v>
      </c>
      <c r="B70" t="s">
        <v>79</v>
      </c>
      <c r="C70" t="s">
        <v>239</v>
      </c>
      <c r="D70" t="s">
        <v>0</v>
      </c>
      <c r="E70">
        <v>4</v>
      </c>
      <c r="F70" t="s">
        <v>92</v>
      </c>
      <c r="G70">
        <v>207.5</v>
      </c>
      <c r="H70">
        <v>69.17</v>
      </c>
      <c r="I70">
        <v>3</v>
      </c>
      <c r="J70">
        <v>2</v>
      </c>
      <c r="K70">
        <v>1</v>
      </c>
      <c r="L70">
        <v>113</v>
      </c>
      <c r="M70">
        <v>46</v>
      </c>
      <c r="N70">
        <v>2</v>
      </c>
      <c r="O70">
        <v>16</v>
      </c>
      <c r="P70">
        <v>3</v>
      </c>
      <c r="Q70">
        <v>0</v>
      </c>
      <c r="R70">
        <v>0</v>
      </c>
      <c r="S70">
        <v>1</v>
      </c>
      <c r="T70">
        <v>0</v>
      </c>
      <c r="U70">
        <v>0</v>
      </c>
      <c r="V70">
        <v>0</v>
      </c>
      <c r="W70">
        <v>0</v>
      </c>
      <c r="X70">
        <v>39.299999999999997</v>
      </c>
      <c r="Y70">
        <v>68.400000000000006</v>
      </c>
      <c r="Z70">
        <v>109</v>
      </c>
    </row>
    <row r="71" spans="1:26" x14ac:dyDescent="0.25">
      <c r="A71" t="s">
        <v>230</v>
      </c>
      <c r="B71" t="s">
        <v>79</v>
      </c>
      <c r="C71" t="s">
        <v>231</v>
      </c>
      <c r="D71" t="s">
        <v>0</v>
      </c>
      <c r="E71">
        <v>3</v>
      </c>
      <c r="F71" t="s">
        <v>81</v>
      </c>
      <c r="G71">
        <v>506.5</v>
      </c>
      <c r="H71">
        <v>72.36</v>
      </c>
      <c r="I71">
        <v>7</v>
      </c>
      <c r="J71">
        <v>6</v>
      </c>
      <c r="K71">
        <v>1</v>
      </c>
      <c r="L71">
        <v>293</v>
      </c>
      <c r="M71">
        <v>103</v>
      </c>
      <c r="N71">
        <v>6</v>
      </c>
      <c r="O71">
        <v>60</v>
      </c>
      <c r="P71">
        <v>6</v>
      </c>
      <c r="Q71">
        <v>0</v>
      </c>
      <c r="R71">
        <v>0</v>
      </c>
      <c r="S71">
        <v>3</v>
      </c>
      <c r="T71">
        <v>3</v>
      </c>
      <c r="U71">
        <v>1</v>
      </c>
      <c r="V71">
        <v>0</v>
      </c>
      <c r="W71">
        <v>0</v>
      </c>
      <c r="X71">
        <v>33</v>
      </c>
      <c r="Y71">
        <v>69.58</v>
      </c>
      <c r="Z71">
        <v>618</v>
      </c>
    </row>
    <row r="72" spans="1:26" x14ac:dyDescent="0.25">
      <c r="A72" t="s">
        <v>370</v>
      </c>
      <c r="B72" t="s">
        <v>79</v>
      </c>
      <c r="C72" t="s">
        <v>371</v>
      </c>
      <c r="D72" t="s">
        <v>0</v>
      </c>
      <c r="E72">
        <v>16</v>
      </c>
      <c r="F72" t="s">
        <v>81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 t="s">
        <v>258</v>
      </c>
      <c r="B73" t="s">
        <v>79</v>
      </c>
      <c r="C73" t="s">
        <v>259</v>
      </c>
      <c r="D73" t="s">
        <v>0</v>
      </c>
      <c r="E73">
        <v>11</v>
      </c>
      <c r="F73" t="s">
        <v>103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25">
      <c r="A74" t="s">
        <v>252</v>
      </c>
      <c r="B74" t="s">
        <v>79</v>
      </c>
      <c r="C74" t="s">
        <v>253</v>
      </c>
      <c r="D74" t="s">
        <v>0</v>
      </c>
      <c r="E74">
        <v>7</v>
      </c>
      <c r="F74" t="s">
        <v>92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 x14ac:dyDescent="0.25">
      <c r="A75" t="s">
        <v>248</v>
      </c>
      <c r="B75" t="s">
        <v>79</v>
      </c>
      <c r="C75" t="s">
        <v>249</v>
      </c>
      <c r="D75" t="s">
        <v>0</v>
      </c>
      <c r="E75">
        <v>16</v>
      </c>
      <c r="F75" t="s">
        <v>103</v>
      </c>
      <c r="G75">
        <v>33.5</v>
      </c>
      <c r="H75">
        <v>33.5</v>
      </c>
      <c r="I75">
        <v>1</v>
      </c>
      <c r="J75">
        <v>0</v>
      </c>
      <c r="K75">
        <v>1</v>
      </c>
      <c r="L75">
        <v>22</v>
      </c>
      <c r="M75">
        <v>6</v>
      </c>
      <c r="N75">
        <v>1</v>
      </c>
      <c r="O75">
        <v>7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69</v>
      </c>
      <c r="Y75">
        <v>70.5</v>
      </c>
      <c r="Z75">
        <v>0</v>
      </c>
    </row>
    <row r="76" spans="1:26" x14ac:dyDescent="0.25">
      <c r="A76" t="s">
        <v>242</v>
      </c>
      <c r="B76" t="s">
        <v>79</v>
      </c>
      <c r="C76" t="s">
        <v>243</v>
      </c>
      <c r="D76" t="s">
        <v>0</v>
      </c>
      <c r="E76">
        <v>16</v>
      </c>
      <c r="F76" t="s">
        <v>92</v>
      </c>
      <c r="G76">
        <v>216</v>
      </c>
      <c r="H76">
        <v>72</v>
      </c>
      <c r="I76">
        <v>3</v>
      </c>
      <c r="J76">
        <v>3</v>
      </c>
      <c r="K76">
        <v>0</v>
      </c>
      <c r="L76">
        <v>131</v>
      </c>
      <c r="M76">
        <v>48</v>
      </c>
      <c r="N76">
        <v>2</v>
      </c>
      <c r="O76">
        <v>33</v>
      </c>
      <c r="P76">
        <v>2</v>
      </c>
      <c r="Q76">
        <v>0</v>
      </c>
      <c r="R76">
        <v>0</v>
      </c>
      <c r="S76">
        <v>1</v>
      </c>
      <c r="T76">
        <v>1</v>
      </c>
      <c r="U76">
        <v>0</v>
      </c>
      <c r="V76">
        <v>0</v>
      </c>
      <c r="W76">
        <v>0</v>
      </c>
      <c r="X76">
        <v>39.299999999999997</v>
      </c>
      <c r="Y76">
        <v>69.75</v>
      </c>
      <c r="Z76">
        <v>87</v>
      </c>
    </row>
    <row r="77" spans="1:26" x14ac:dyDescent="0.25">
      <c r="A77" t="s">
        <v>234</v>
      </c>
      <c r="B77" t="s">
        <v>79</v>
      </c>
      <c r="C77" t="s">
        <v>235</v>
      </c>
      <c r="D77" t="s">
        <v>0</v>
      </c>
      <c r="E77">
        <v>12</v>
      </c>
      <c r="F77" t="s">
        <v>92</v>
      </c>
      <c r="G77">
        <v>334.5</v>
      </c>
      <c r="H77">
        <v>66.900000000000006</v>
      </c>
      <c r="I77">
        <v>5</v>
      </c>
      <c r="J77">
        <v>4</v>
      </c>
      <c r="K77">
        <v>1</v>
      </c>
      <c r="L77">
        <v>202</v>
      </c>
      <c r="M77">
        <v>79</v>
      </c>
      <c r="N77">
        <v>1</v>
      </c>
      <c r="O77">
        <v>39</v>
      </c>
      <c r="P77">
        <v>3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38.799999999999997</v>
      </c>
      <c r="Y77">
        <v>69.44</v>
      </c>
      <c r="Z77">
        <v>114</v>
      </c>
    </row>
    <row r="78" spans="1:26" x14ac:dyDescent="0.25">
      <c r="A78" t="s">
        <v>262</v>
      </c>
      <c r="B78" t="s">
        <v>79</v>
      </c>
      <c r="C78" t="s">
        <v>263</v>
      </c>
      <c r="D78" t="s">
        <v>30</v>
      </c>
      <c r="E78">
        <v>3</v>
      </c>
      <c r="F78" t="s">
        <v>92</v>
      </c>
      <c r="G78">
        <v>605</v>
      </c>
      <c r="H78">
        <v>75.62</v>
      </c>
      <c r="I78">
        <v>8</v>
      </c>
      <c r="J78">
        <v>7</v>
      </c>
      <c r="K78">
        <v>1</v>
      </c>
      <c r="L78">
        <v>311</v>
      </c>
      <c r="M78">
        <v>132</v>
      </c>
      <c r="N78">
        <v>5</v>
      </c>
      <c r="O78">
        <v>67</v>
      </c>
      <c r="P78">
        <v>7</v>
      </c>
      <c r="Q78">
        <v>0</v>
      </c>
      <c r="R78">
        <v>0</v>
      </c>
      <c r="S78">
        <v>5</v>
      </c>
      <c r="T78">
        <v>2</v>
      </c>
      <c r="U78">
        <v>1</v>
      </c>
      <c r="V78">
        <v>1</v>
      </c>
      <c r="W78">
        <v>0</v>
      </c>
      <c r="X78">
        <v>29.4</v>
      </c>
      <c r="Y78">
        <v>69.28</v>
      </c>
      <c r="Z78">
        <v>465</v>
      </c>
    </row>
    <row r="79" spans="1:26" x14ac:dyDescent="0.25">
      <c r="A79" t="s">
        <v>264</v>
      </c>
      <c r="B79" t="s">
        <v>79</v>
      </c>
      <c r="C79" t="s">
        <v>265</v>
      </c>
      <c r="D79" t="s">
        <v>30</v>
      </c>
      <c r="E79">
        <v>2</v>
      </c>
      <c r="F79" t="s">
        <v>81</v>
      </c>
      <c r="G79">
        <v>368</v>
      </c>
      <c r="H79">
        <v>52.57</v>
      </c>
      <c r="I79">
        <v>7</v>
      </c>
      <c r="J79">
        <v>5</v>
      </c>
      <c r="K79">
        <v>2</v>
      </c>
      <c r="L79">
        <v>277</v>
      </c>
      <c r="M79">
        <v>85</v>
      </c>
      <c r="N79">
        <v>1</v>
      </c>
      <c r="O79">
        <v>59</v>
      </c>
      <c r="P79">
        <v>9</v>
      </c>
      <c r="Q79">
        <v>1</v>
      </c>
      <c r="R79">
        <v>1</v>
      </c>
      <c r="S79">
        <v>0</v>
      </c>
      <c r="T79">
        <v>0</v>
      </c>
      <c r="U79">
        <v>0</v>
      </c>
      <c r="V79">
        <v>0</v>
      </c>
      <c r="W79">
        <v>0</v>
      </c>
      <c r="X79">
        <v>52.6</v>
      </c>
      <c r="Y79">
        <v>71.290000000000006</v>
      </c>
      <c r="Z79">
        <v>78</v>
      </c>
    </row>
    <row r="80" spans="1:26" x14ac:dyDescent="0.25">
      <c r="A80" t="s">
        <v>276</v>
      </c>
      <c r="B80" t="s">
        <v>79</v>
      </c>
      <c r="C80" t="s">
        <v>277</v>
      </c>
      <c r="D80" t="s">
        <v>30</v>
      </c>
      <c r="E80">
        <v>6</v>
      </c>
      <c r="F80" t="s">
        <v>81</v>
      </c>
      <c r="G80">
        <v>306</v>
      </c>
      <c r="H80">
        <v>51</v>
      </c>
      <c r="I80">
        <v>6</v>
      </c>
      <c r="J80">
        <v>4</v>
      </c>
      <c r="K80">
        <v>2</v>
      </c>
      <c r="L80">
        <v>223</v>
      </c>
      <c r="M80">
        <v>70</v>
      </c>
      <c r="N80">
        <v>0</v>
      </c>
      <c r="O80">
        <v>45</v>
      </c>
      <c r="P80">
        <v>4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48.3</v>
      </c>
      <c r="Y80">
        <v>70.47</v>
      </c>
      <c r="Z80">
        <v>135</v>
      </c>
    </row>
    <row r="81" spans="1:26" x14ac:dyDescent="0.25">
      <c r="A81" t="s">
        <v>292</v>
      </c>
      <c r="B81" t="s">
        <v>79</v>
      </c>
      <c r="C81" t="s">
        <v>293</v>
      </c>
      <c r="D81" t="s">
        <v>30</v>
      </c>
      <c r="E81">
        <v>7</v>
      </c>
      <c r="F81" t="s">
        <v>103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25">
      <c r="A82" t="s">
        <v>266</v>
      </c>
      <c r="B82" t="s">
        <v>79</v>
      </c>
      <c r="C82" t="s">
        <v>267</v>
      </c>
      <c r="D82" t="s">
        <v>30</v>
      </c>
      <c r="E82">
        <v>1</v>
      </c>
      <c r="F82" t="s">
        <v>81</v>
      </c>
      <c r="G82">
        <v>366</v>
      </c>
      <c r="H82">
        <v>73.2</v>
      </c>
      <c r="I82">
        <v>5</v>
      </c>
      <c r="J82">
        <v>5</v>
      </c>
      <c r="K82">
        <v>0</v>
      </c>
      <c r="L82">
        <v>194</v>
      </c>
      <c r="M82">
        <v>92</v>
      </c>
      <c r="N82">
        <v>1</v>
      </c>
      <c r="O82">
        <v>46</v>
      </c>
      <c r="P82">
        <v>6</v>
      </c>
      <c r="Q82">
        <v>3</v>
      </c>
      <c r="R82">
        <v>3</v>
      </c>
      <c r="S82">
        <v>4</v>
      </c>
      <c r="T82">
        <v>0</v>
      </c>
      <c r="U82">
        <v>0</v>
      </c>
      <c r="V82">
        <v>0</v>
      </c>
      <c r="W82">
        <v>0</v>
      </c>
      <c r="X82">
        <v>30.2</v>
      </c>
      <c r="Y82">
        <v>70.16</v>
      </c>
      <c r="Z82">
        <v>286</v>
      </c>
    </row>
    <row r="83" spans="1:26" x14ac:dyDescent="0.25">
      <c r="A83" t="s">
        <v>284</v>
      </c>
      <c r="B83" t="s">
        <v>79</v>
      </c>
      <c r="C83" t="s">
        <v>285</v>
      </c>
      <c r="D83" t="s">
        <v>30</v>
      </c>
      <c r="E83">
        <v>4</v>
      </c>
      <c r="F83" t="s">
        <v>92</v>
      </c>
      <c r="G83">
        <v>296</v>
      </c>
      <c r="H83">
        <v>49.33</v>
      </c>
      <c r="I83">
        <v>6</v>
      </c>
      <c r="J83">
        <v>3</v>
      </c>
      <c r="K83">
        <v>3</v>
      </c>
      <c r="L83">
        <v>236</v>
      </c>
      <c r="M83">
        <v>60</v>
      </c>
      <c r="N83">
        <v>1</v>
      </c>
      <c r="O83">
        <v>38</v>
      </c>
      <c r="P83">
        <v>6</v>
      </c>
      <c r="Q83">
        <v>1</v>
      </c>
      <c r="R83">
        <v>1</v>
      </c>
      <c r="S83">
        <v>1</v>
      </c>
      <c r="T83">
        <v>1</v>
      </c>
      <c r="U83">
        <v>1</v>
      </c>
      <c r="V83">
        <v>0</v>
      </c>
      <c r="W83">
        <v>0</v>
      </c>
      <c r="X83">
        <v>54.2</v>
      </c>
      <c r="Y83">
        <v>70.47</v>
      </c>
      <c r="Z83">
        <v>125</v>
      </c>
    </row>
    <row r="84" spans="1:26" x14ac:dyDescent="0.25">
      <c r="A84" t="s">
        <v>268</v>
      </c>
      <c r="B84" t="s">
        <v>79</v>
      </c>
      <c r="C84" t="s">
        <v>269</v>
      </c>
      <c r="D84" t="s">
        <v>30</v>
      </c>
      <c r="E84">
        <v>5</v>
      </c>
      <c r="F84" t="s">
        <v>81</v>
      </c>
      <c r="G84">
        <v>315.5</v>
      </c>
      <c r="H84">
        <v>63.1</v>
      </c>
      <c r="I84">
        <v>5</v>
      </c>
      <c r="J84">
        <v>4</v>
      </c>
      <c r="K84">
        <v>1</v>
      </c>
      <c r="L84">
        <v>191</v>
      </c>
      <c r="M84">
        <v>69</v>
      </c>
      <c r="N84">
        <v>2</v>
      </c>
      <c r="O84">
        <v>42</v>
      </c>
      <c r="P84">
        <v>2</v>
      </c>
      <c r="Q84">
        <v>0</v>
      </c>
      <c r="R84">
        <v>0</v>
      </c>
      <c r="S84">
        <v>3</v>
      </c>
      <c r="T84">
        <v>1</v>
      </c>
      <c r="U84">
        <v>0</v>
      </c>
      <c r="V84">
        <v>0</v>
      </c>
      <c r="W84">
        <v>0</v>
      </c>
      <c r="X84">
        <v>30.2</v>
      </c>
      <c r="Y84">
        <v>69.94</v>
      </c>
      <c r="Z84">
        <v>275</v>
      </c>
    </row>
    <row r="85" spans="1:26" x14ac:dyDescent="0.25">
      <c r="A85" t="s">
        <v>280</v>
      </c>
      <c r="B85" t="s">
        <v>79</v>
      </c>
      <c r="C85" t="s">
        <v>281</v>
      </c>
      <c r="D85" t="s">
        <v>30</v>
      </c>
      <c r="E85">
        <v>9</v>
      </c>
      <c r="F85" t="s">
        <v>103</v>
      </c>
      <c r="G85">
        <v>194</v>
      </c>
      <c r="H85">
        <v>48.5</v>
      </c>
      <c r="I85">
        <v>4</v>
      </c>
      <c r="J85">
        <v>1</v>
      </c>
      <c r="K85">
        <v>3</v>
      </c>
      <c r="L85">
        <v>130</v>
      </c>
      <c r="M85">
        <v>42</v>
      </c>
      <c r="N85">
        <v>2</v>
      </c>
      <c r="O85">
        <v>20</v>
      </c>
      <c r="P85">
        <v>4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62.3</v>
      </c>
      <c r="Y85">
        <v>69.27</v>
      </c>
      <c r="Z85">
        <v>11</v>
      </c>
    </row>
    <row r="86" spans="1:26" x14ac:dyDescent="0.25">
      <c r="A86" t="s">
        <v>246</v>
      </c>
      <c r="B86" t="s">
        <v>79</v>
      </c>
      <c r="C86" t="s">
        <v>247</v>
      </c>
      <c r="D86" t="s">
        <v>30</v>
      </c>
      <c r="E86">
        <v>16</v>
      </c>
      <c r="F86" t="s">
        <v>81</v>
      </c>
      <c r="G86">
        <v>224.5</v>
      </c>
      <c r="H86">
        <v>74.83</v>
      </c>
      <c r="I86">
        <v>3</v>
      </c>
      <c r="J86">
        <v>3</v>
      </c>
      <c r="K86">
        <v>0</v>
      </c>
      <c r="L86">
        <v>146</v>
      </c>
      <c r="M86">
        <v>41</v>
      </c>
      <c r="N86">
        <v>2</v>
      </c>
      <c r="O86">
        <v>25</v>
      </c>
      <c r="P86">
        <v>2</v>
      </c>
      <c r="Q86">
        <v>0</v>
      </c>
      <c r="R86">
        <v>0</v>
      </c>
      <c r="S86">
        <v>2</v>
      </c>
      <c r="T86">
        <v>1</v>
      </c>
      <c r="U86">
        <v>1</v>
      </c>
      <c r="V86">
        <v>1</v>
      </c>
      <c r="W86">
        <v>0</v>
      </c>
      <c r="X86">
        <v>15.7</v>
      </c>
      <c r="Y86">
        <v>69.67</v>
      </c>
      <c r="Z86">
        <v>256</v>
      </c>
    </row>
    <row r="87" spans="1:26" x14ac:dyDescent="0.25">
      <c r="A87" t="s">
        <v>368</v>
      </c>
      <c r="B87" t="s">
        <v>79</v>
      </c>
      <c r="C87" t="s">
        <v>369</v>
      </c>
      <c r="D87" t="s">
        <v>30</v>
      </c>
      <c r="E87">
        <v>16</v>
      </c>
      <c r="F87" t="s">
        <v>92</v>
      </c>
      <c r="G87">
        <v>68</v>
      </c>
      <c r="H87">
        <v>68</v>
      </c>
      <c r="I87">
        <v>1</v>
      </c>
      <c r="J87">
        <v>1</v>
      </c>
      <c r="K87">
        <v>0</v>
      </c>
      <c r="L87">
        <v>50</v>
      </c>
      <c r="M87">
        <v>11</v>
      </c>
      <c r="N87">
        <v>1</v>
      </c>
      <c r="O87">
        <v>10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36</v>
      </c>
      <c r="Y87">
        <v>69.25</v>
      </c>
      <c r="Z87">
        <v>16</v>
      </c>
    </row>
    <row r="88" spans="1:26" x14ac:dyDescent="0.25">
      <c r="A88" t="s">
        <v>278</v>
      </c>
      <c r="B88" t="s">
        <v>79</v>
      </c>
      <c r="C88" t="s">
        <v>279</v>
      </c>
      <c r="D88" t="s">
        <v>30</v>
      </c>
      <c r="E88">
        <v>12</v>
      </c>
      <c r="F88" t="s">
        <v>92</v>
      </c>
      <c r="G88">
        <v>204.5</v>
      </c>
      <c r="H88">
        <v>68.17</v>
      </c>
      <c r="I88">
        <v>3</v>
      </c>
      <c r="J88">
        <v>3</v>
      </c>
      <c r="K88">
        <v>0</v>
      </c>
      <c r="L88">
        <v>135</v>
      </c>
      <c r="M88">
        <v>48</v>
      </c>
      <c r="N88">
        <v>1</v>
      </c>
      <c r="O88">
        <v>28</v>
      </c>
      <c r="P88">
        <v>3</v>
      </c>
      <c r="Q88">
        <v>1</v>
      </c>
      <c r="R88">
        <v>1</v>
      </c>
      <c r="S88">
        <v>0</v>
      </c>
      <c r="T88">
        <v>0</v>
      </c>
      <c r="U88">
        <v>0</v>
      </c>
      <c r="V88">
        <v>0</v>
      </c>
      <c r="W88">
        <v>0</v>
      </c>
      <c r="X88">
        <v>48.3</v>
      </c>
      <c r="Y88">
        <v>69.92</v>
      </c>
      <c r="Z88">
        <v>31</v>
      </c>
    </row>
    <row r="89" spans="1:26" x14ac:dyDescent="0.25">
      <c r="A89" t="s">
        <v>270</v>
      </c>
      <c r="B89" t="s">
        <v>79</v>
      </c>
      <c r="C89" t="s">
        <v>271</v>
      </c>
      <c r="D89" t="s">
        <v>30</v>
      </c>
      <c r="E89">
        <v>8</v>
      </c>
      <c r="F89" t="s">
        <v>92</v>
      </c>
      <c r="G89">
        <v>369</v>
      </c>
      <c r="H89">
        <v>52.71</v>
      </c>
      <c r="I89">
        <v>7</v>
      </c>
      <c r="J89">
        <v>4</v>
      </c>
      <c r="K89">
        <v>3</v>
      </c>
      <c r="L89">
        <v>255</v>
      </c>
      <c r="M89">
        <v>81</v>
      </c>
      <c r="N89">
        <v>3</v>
      </c>
      <c r="O89">
        <v>51</v>
      </c>
      <c r="P89">
        <v>4</v>
      </c>
      <c r="Q89">
        <v>2</v>
      </c>
      <c r="R89">
        <v>2</v>
      </c>
      <c r="S89">
        <v>1</v>
      </c>
      <c r="T89">
        <v>0</v>
      </c>
      <c r="U89">
        <v>0</v>
      </c>
      <c r="V89">
        <v>0</v>
      </c>
      <c r="W89">
        <v>0</v>
      </c>
      <c r="X89">
        <v>54.9</v>
      </c>
      <c r="Y89">
        <v>70.09</v>
      </c>
      <c r="Z89">
        <v>63</v>
      </c>
    </row>
    <row r="90" spans="1:26" x14ac:dyDescent="0.25">
      <c r="A90" t="s">
        <v>288</v>
      </c>
      <c r="B90" t="s">
        <v>79</v>
      </c>
      <c r="C90" t="s">
        <v>289</v>
      </c>
      <c r="D90" t="s">
        <v>30</v>
      </c>
      <c r="E90">
        <v>11</v>
      </c>
      <c r="F90" t="s">
        <v>92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286</v>
      </c>
      <c r="B91" t="s">
        <v>79</v>
      </c>
      <c r="C91" t="s">
        <v>287</v>
      </c>
      <c r="D91" t="s">
        <v>30</v>
      </c>
      <c r="E91">
        <v>14</v>
      </c>
      <c r="F91" t="s">
        <v>92</v>
      </c>
      <c r="G91">
        <v>114.5</v>
      </c>
      <c r="H91">
        <v>57.25</v>
      </c>
      <c r="I91">
        <v>2</v>
      </c>
      <c r="J91">
        <v>1</v>
      </c>
      <c r="K91">
        <v>1</v>
      </c>
      <c r="L91">
        <v>68</v>
      </c>
      <c r="M91">
        <v>23</v>
      </c>
      <c r="N91">
        <v>2</v>
      </c>
      <c r="O91">
        <v>13</v>
      </c>
      <c r="P91">
        <v>2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53</v>
      </c>
      <c r="Y91">
        <v>69</v>
      </c>
      <c r="Z91">
        <v>31</v>
      </c>
    </row>
    <row r="92" spans="1:26" x14ac:dyDescent="0.25">
      <c r="A92" t="s">
        <v>282</v>
      </c>
      <c r="B92" t="s">
        <v>79</v>
      </c>
      <c r="C92" t="s">
        <v>283</v>
      </c>
      <c r="D92" t="s">
        <v>30</v>
      </c>
      <c r="E92">
        <v>13</v>
      </c>
      <c r="F92" t="s">
        <v>92</v>
      </c>
      <c r="G92">
        <v>169.5</v>
      </c>
      <c r="H92">
        <v>42.38</v>
      </c>
      <c r="I92">
        <v>4</v>
      </c>
      <c r="J92">
        <v>1</v>
      </c>
      <c r="K92">
        <v>3</v>
      </c>
      <c r="L92">
        <v>119</v>
      </c>
      <c r="M92">
        <v>40</v>
      </c>
      <c r="N92">
        <v>0</v>
      </c>
      <c r="O92">
        <v>18</v>
      </c>
      <c r="P92">
        <v>3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65.3</v>
      </c>
      <c r="Y92">
        <v>69.8</v>
      </c>
      <c r="Z92">
        <v>20</v>
      </c>
    </row>
    <row r="93" spans="1:26" x14ac:dyDescent="0.25">
      <c r="A93" t="s">
        <v>242</v>
      </c>
      <c r="B93" t="s">
        <v>79</v>
      </c>
      <c r="C93" t="s">
        <v>243</v>
      </c>
      <c r="D93" t="s">
        <v>30</v>
      </c>
      <c r="E93">
        <v>10</v>
      </c>
      <c r="F93" t="s">
        <v>103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272</v>
      </c>
      <c r="B94" t="s">
        <v>79</v>
      </c>
      <c r="C94" t="s">
        <v>273</v>
      </c>
      <c r="D94" t="s">
        <v>30</v>
      </c>
      <c r="E94">
        <v>16</v>
      </c>
      <c r="F94" t="s">
        <v>92</v>
      </c>
      <c r="G94">
        <v>288.5</v>
      </c>
      <c r="H94">
        <v>57.7</v>
      </c>
      <c r="I94">
        <v>5</v>
      </c>
      <c r="J94">
        <v>4</v>
      </c>
      <c r="K94">
        <v>1</v>
      </c>
      <c r="L94">
        <v>222</v>
      </c>
      <c r="M94">
        <v>56</v>
      </c>
      <c r="N94">
        <v>3</v>
      </c>
      <c r="O94">
        <v>39</v>
      </c>
      <c r="P94">
        <v>4</v>
      </c>
      <c r="Q94">
        <v>0</v>
      </c>
      <c r="R94">
        <v>0</v>
      </c>
      <c r="S94">
        <v>2</v>
      </c>
      <c r="T94">
        <v>0</v>
      </c>
      <c r="U94">
        <v>0</v>
      </c>
      <c r="V94">
        <v>0</v>
      </c>
      <c r="W94">
        <v>0</v>
      </c>
      <c r="X94">
        <v>49.2</v>
      </c>
      <c r="Y94">
        <v>70.28</v>
      </c>
      <c r="Z94">
        <v>73</v>
      </c>
    </row>
    <row r="95" spans="1:26" x14ac:dyDescent="0.25">
      <c r="A95" t="s">
        <v>274</v>
      </c>
      <c r="B95" t="s">
        <v>79</v>
      </c>
      <c r="C95" t="s">
        <v>275</v>
      </c>
      <c r="D95" t="s">
        <v>30</v>
      </c>
      <c r="E95">
        <v>16</v>
      </c>
      <c r="F95" t="s">
        <v>81</v>
      </c>
      <c r="G95">
        <v>241</v>
      </c>
      <c r="H95">
        <v>48.2</v>
      </c>
      <c r="I95">
        <v>5</v>
      </c>
      <c r="J95">
        <v>3</v>
      </c>
      <c r="K95">
        <v>2</v>
      </c>
      <c r="L95">
        <v>149</v>
      </c>
      <c r="M95">
        <v>55</v>
      </c>
      <c r="N95">
        <v>4</v>
      </c>
      <c r="O95">
        <v>51</v>
      </c>
      <c r="P95">
        <v>9</v>
      </c>
      <c r="Q95">
        <v>2</v>
      </c>
      <c r="R95">
        <v>2</v>
      </c>
      <c r="S95">
        <v>0</v>
      </c>
      <c r="T95">
        <v>0</v>
      </c>
      <c r="U95">
        <v>0</v>
      </c>
      <c r="V95">
        <v>0</v>
      </c>
      <c r="W95">
        <v>0</v>
      </c>
      <c r="X95">
        <v>61.4</v>
      </c>
      <c r="Y95">
        <v>72.400000000000006</v>
      </c>
      <c r="Z95">
        <v>25</v>
      </c>
    </row>
    <row r="96" spans="1:26" x14ac:dyDescent="0.25">
      <c r="A96" t="s">
        <v>290</v>
      </c>
      <c r="B96" t="s">
        <v>79</v>
      </c>
      <c r="C96" t="s">
        <v>291</v>
      </c>
      <c r="D96" t="s">
        <v>30</v>
      </c>
      <c r="E96">
        <v>15</v>
      </c>
      <c r="F96" t="s">
        <v>92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 x14ac:dyDescent="0.25">
      <c r="A97" t="s">
        <v>312</v>
      </c>
      <c r="B97" t="s">
        <v>79</v>
      </c>
      <c r="C97" t="s">
        <v>313</v>
      </c>
      <c r="D97" t="s">
        <v>2</v>
      </c>
      <c r="E97">
        <v>15</v>
      </c>
      <c r="F97" t="s">
        <v>92</v>
      </c>
      <c r="G97">
        <v>168</v>
      </c>
      <c r="H97">
        <v>56</v>
      </c>
      <c r="I97">
        <v>3</v>
      </c>
      <c r="J97">
        <v>1</v>
      </c>
      <c r="K97">
        <v>2</v>
      </c>
      <c r="L97">
        <v>104</v>
      </c>
      <c r="M97">
        <v>38</v>
      </c>
      <c r="N97">
        <v>1</v>
      </c>
      <c r="O97">
        <v>14</v>
      </c>
      <c r="P97">
        <v>5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49</v>
      </c>
      <c r="Y97">
        <v>69.11</v>
      </c>
      <c r="Z97">
        <v>55</v>
      </c>
    </row>
    <row r="98" spans="1:26" x14ac:dyDescent="0.25">
      <c r="A98" t="s">
        <v>298</v>
      </c>
      <c r="B98" t="s">
        <v>79</v>
      </c>
      <c r="C98" t="s">
        <v>299</v>
      </c>
      <c r="D98" t="s">
        <v>2</v>
      </c>
      <c r="E98">
        <v>4</v>
      </c>
      <c r="F98" t="s">
        <v>81</v>
      </c>
      <c r="G98">
        <v>511</v>
      </c>
      <c r="H98">
        <v>73</v>
      </c>
      <c r="I98">
        <v>7</v>
      </c>
      <c r="J98">
        <v>6</v>
      </c>
      <c r="K98">
        <v>1</v>
      </c>
      <c r="L98">
        <v>251</v>
      </c>
      <c r="M98">
        <v>122</v>
      </c>
      <c r="N98">
        <v>2</v>
      </c>
      <c r="O98">
        <v>67</v>
      </c>
      <c r="P98">
        <v>7</v>
      </c>
      <c r="Q98">
        <v>1</v>
      </c>
      <c r="R98">
        <v>1</v>
      </c>
      <c r="S98">
        <v>4</v>
      </c>
      <c r="T98">
        <v>2</v>
      </c>
      <c r="U98">
        <v>1</v>
      </c>
      <c r="V98">
        <v>1</v>
      </c>
      <c r="W98">
        <v>0</v>
      </c>
      <c r="X98">
        <v>31.1</v>
      </c>
      <c r="Y98">
        <v>69.56</v>
      </c>
      <c r="Z98">
        <v>622</v>
      </c>
    </row>
    <row r="99" spans="1:26" x14ac:dyDescent="0.25">
      <c r="A99" t="s">
        <v>152</v>
      </c>
      <c r="B99" t="s">
        <v>79</v>
      </c>
      <c r="C99" t="s">
        <v>153</v>
      </c>
      <c r="D99" t="s">
        <v>2</v>
      </c>
      <c r="E99">
        <v>8</v>
      </c>
      <c r="F99" t="s">
        <v>103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302</v>
      </c>
      <c r="B100" t="s">
        <v>79</v>
      </c>
      <c r="C100" t="s">
        <v>303</v>
      </c>
      <c r="D100" t="s">
        <v>2</v>
      </c>
      <c r="E100">
        <v>9</v>
      </c>
      <c r="F100" t="s">
        <v>92</v>
      </c>
      <c r="G100">
        <v>386</v>
      </c>
      <c r="H100">
        <v>77.2</v>
      </c>
      <c r="I100">
        <v>5</v>
      </c>
      <c r="J100">
        <v>5</v>
      </c>
      <c r="K100">
        <v>0</v>
      </c>
      <c r="L100">
        <v>224</v>
      </c>
      <c r="M100">
        <v>87</v>
      </c>
      <c r="N100">
        <v>2</v>
      </c>
      <c r="O100">
        <v>42</v>
      </c>
      <c r="P100">
        <v>5</v>
      </c>
      <c r="Q100">
        <v>0</v>
      </c>
      <c r="R100">
        <v>0</v>
      </c>
      <c r="S100">
        <v>3</v>
      </c>
      <c r="T100">
        <v>1</v>
      </c>
      <c r="U100">
        <v>0</v>
      </c>
      <c r="V100">
        <v>0</v>
      </c>
      <c r="W100">
        <v>0</v>
      </c>
      <c r="X100">
        <v>24.6</v>
      </c>
      <c r="Y100">
        <v>69.05</v>
      </c>
      <c r="Z100">
        <v>780</v>
      </c>
    </row>
    <row r="101" spans="1:26" x14ac:dyDescent="0.25">
      <c r="A101" t="s">
        <v>326</v>
      </c>
      <c r="B101" t="s">
        <v>79</v>
      </c>
      <c r="C101" t="s">
        <v>327</v>
      </c>
      <c r="D101" t="s">
        <v>2</v>
      </c>
      <c r="E101">
        <v>14</v>
      </c>
      <c r="F101" t="s">
        <v>103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310</v>
      </c>
      <c r="B102" t="s">
        <v>79</v>
      </c>
      <c r="C102" t="s">
        <v>311</v>
      </c>
      <c r="D102" t="s">
        <v>2</v>
      </c>
      <c r="E102">
        <v>16</v>
      </c>
      <c r="F102" t="s">
        <v>92</v>
      </c>
      <c r="G102">
        <v>250.5</v>
      </c>
      <c r="H102">
        <v>41.75</v>
      </c>
      <c r="I102">
        <v>6</v>
      </c>
      <c r="J102">
        <v>2</v>
      </c>
      <c r="K102">
        <v>4</v>
      </c>
      <c r="L102">
        <v>190</v>
      </c>
      <c r="M102">
        <v>50</v>
      </c>
      <c r="N102">
        <v>3</v>
      </c>
      <c r="O102">
        <v>41</v>
      </c>
      <c r="P102">
        <v>4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61.2</v>
      </c>
      <c r="Y102">
        <v>70.56</v>
      </c>
      <c r="Z102">
        <v>50</v>
      </c>
    </row>
    <row r="103" spans="1:26" x14ac:dyDescent="0.25">
      <c r="A103" t="s">
        <v>294</v>
      </c>
      <c r="B103" t="s">
        <v>79</v>
      </c>
      <c r="C103" t="s">
        <v>295</v>
      </c>
      <c r="D103" t="s">
        <v>2</v>
      </c>
      <c r="E103">
        <v>7</v>
      </c>
      <c r="F103" t="s">
        <v>81</v>
      </c>
      <c r="G103">
        <v>668.5</v>
      </c>
      <c r="H103">
        <v>74.28</v>
      </c>
      <c r="I103">
        <v>9</v>
      </c>
      <c r="J103">
        <v>7</v>
      </c>
      <c r="K103">
        <v>2</v>
      </c>
      <c r="L103">
        <v>334</v>
      </c>
      <c r="M103">
        <v>143</v>
      </c>
      <c r="N103">
        <v>3</v>
      </c>
      <c r="O103">
        <v>69</v>
      </c>
      <c r="P103">
        <v>8</v>
      </c>
      <c r="Q103">
        <v>1</v>
      </c>
      <c r="R103">
        <v>1</v>
      </c>
      <c r="S103">
        <v>4</v>
      </c>
      <c r="T103">
        <v>3</v>
      </c>
      <c r="U103">
        <v>3</v>
      </c>
      <c r="V103">
        <v>3</v>
      </c>
      <c r="W103">
        <v>1</v>
      </c>
      <c r="X103">
        <v>37.200000000000003</v>
      </c>
      <c r="Y103">
        <v>69.319999999999993</v>
      </c>
      <c r="Z103">
        <v>863</v>
      </c>
    </row>
    <row r="104" spans="1:26" x14ac:dyDescent="0.25">
      <c r="A104" t="s">
        <v>320</v>
      </c>
      <c r="B104" t="s">
        <v>79</v>
      </c>
      <c r="C104" t="s">
        <v>321</v>
      </c>
      <c r="D104" t="s">
        <v>2</v>
      </c>
      <c r="E104">
        <v>16</v>
      </c>
      <c r="F104" t="s">
        <v>92</v>
      </c>
      <c r="G104">
        <v>126.5</v>
      </c>
      <c r="H104">
        <v>42.17</v>
      </c>
      <c r="I104">
        <v>3</v>
      </c>
      <c r="J104">
        <v>1</v>
      </c>
      <c r="K104">
        <v>2</v>
      </c>
      <c r="L104">
        <v>83</v>
      </c>
      <c r="M104">
        <v>33</v>
      </c>
      <c r="N104">
        <v>0</v>
      </c>
      <c r="O104">
        <v>24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57.3</v>
      </c>
      <c r="Y104">
        <v>70.88</v>
      </c>
      <c r="Z104">
        <v>18</v>
      </c>
    </row>
    <row r="105" spans="1:26" x14ac:dyDescent="0.25">
      <c r="A105" t="s">
        <v>316</v>
      </c>
      <c r="B105" t="s">
        <v>79</v>
      </c>
      <c r="C105" t="s">
        <v>317</v>
      </c>
      <c r="D105" t="s">
        <v>2</v>
      </c>
      <c r="E105">
        <v>6</v>
      </c>
      <c r="F105" t="s">
        <v>92</v>
      </c>
      <c r="G105">
        <v>98.5</v>
      </c>
      <c r="H105">
        <v>49.25</v>
      </c>
      <c r="I105">
        <v>2</v>
      </c>
      <c r="J105">
        <v>1</v>
      </c>
      <c r="K105">
        <v>1</v>
      </c>
      <c r="L105">
        <v>74</v>
      </c>
      <c r="M105">
        <v>17</v>
      </c>
      <c r="N105">
        <v>2</v>
      </c>
      <c r="O105">
        <v>13</v>
      </c>
      <c r="P105">
        <v>2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54.5</v>
      </c>
      <c r="Y105">
        <v>70</v>
      </c>
      <c r="Z105">
        <v>21</v>
      </c>
    </row>
    <row r="106" spans="1:26" x14ac:dyDescent="0.25">
      <c r="A106" t="s">
        <v>314</v>
      </c>
      <c r="B106" t="s">
        <v>79</v>
      </c>
      <c r="C106" t="s">
        <v>315</v>
      </c>
      <c r="D106" t="s">
        <v>2</v>
      </c>
      <c r="E106">
        <v>13</v>
      </c>
      <c r="F106" t="s">
        <v>92</v>
      </c>
      <c r="G106">
        <v>217</v>
      </c>
      <c r="H106">
        <v>54.25</v>
      </c>
      <c r="I106">
        <v>4</v>
      </c>
      <c r="J106">
        <v>2</v>
      </c>
      <c r="K106">
        <v>2</v>
      </c>
      <c r="L106">
        <v>132</v>
      </c>
      <c r="M106">
        <v>54</v>
      </c>
      <c r="N106">
        <v>0</v>
      </c>
      <c r="O106">
        <v>26</v>
      </c>
      <c r="P106">
        <v>4</v>
      </c>
      <c r="Q106">
        <v>0</v>
      </c>
      <c r="R106">
        <v>0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50.3</v>
      </c>
      <c r="Y106">
        <v>69.5</v>
      </c>
      <c r="Z106">
        <v>54</v>
      </c>
    </row>
    <row r="107" spans="1:26" x14ac:dyDescent="0.25">
      <c r="A107" t="s">
        <v>322</v>
      </c>
      <c r="B107" t="s">
        <v>79</v>
      </c>
      <c r="C107" t="s">
        <v>323</v>
      </c>
      <c r="D107" t="s">
        <v>2</v>
      </c>
      <c r="E107">
        <v>5</v>
      </c>
      <c r="F107" t="s">
        <v>92</v>
      </c>
      <c r="G107">
        <v>80.5</v>
      </c>
      <c r="H107">
        <v>40.25</v>
      </c>
      <c r="I107">
        <v>2</v>
      </c>
      <c r="J107">
        <v>1</v>
      </c>
      <c r="K107">
        <v>1</v>
      </c>
      <c r="L107">
        <v>70</v>
      </c>
      <c r="M107">
        <v>18</v>
      </c>
      <c r="N107">
        <v>0</v>
      </c>
      <c r="O107">
        <v>19</v>
      </c>
      <c r="P107">
        <v>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42.5</v>
      </c>
      <c r="Y107">
        <v>71.5</v>
      </c>
      <c r="Z107">
        <v>18</v>
      </c>
    </row>
    <row r="108" spans="1:26" x14ac:dyDescent="0.25">
      <c r="A108" t="s">
        <v>306</v>
      </c>
      <c r="B108" t="s">
        <v>79</v>
      </c>
      <c r="C108" t="s">
        <v>307</v>
      </c>
      <c r="D108" t="s">
        <v>2</v>
      </c>
      <c r="E108">
        <v>16</v>
      </c>
      <c r="F108" t="s">
        <v>81</v>
      </c>
      <c r="G108">
        <v>246.5</v>
      </c>
      <c r="H108">
        <v>61.62</v>
      </c>
      <c r="I108">
        <v>4</v>
      </c>
      <c r="J108">
        <v>3</v>
      </c>
      <c r="K108">
        <v>1</v>
      </c>
      <c r="L108">
        <v>141</v>
      </c>
      <c r="M108">
        <v>56</v>
      </c>
      <c r="N108">
        <v>1</v>
      </c>
      <c r="O108">
        <v>30</v>
      </c>
      <c r="P108">
        <v>5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0</v>
      </c>
      <c r="X108">
        <v>39.299999999999997</v>
      </c>
      <c r="Y108">
        <v>70.540000000000006</v>
      </c>
      <c r="Z108">
        <v>389</v>
      </c>
    </row>
    <row r="109" spans="1:26" x14ac:dyDescent="0.25">
      <c r="A109" t="s">
        <v>300</v>
      </c>
      <c r="B109" t="s">
        <v>79</v>
      </c>
      <c r="C109" t="s">
        <v>301</v>
      </c>
      <c r="D109" t="s">
        <v>2</v>
      </c>
      <c r="E109">
        <v>2</v>
      </c>
      <c r="F109" t="s">
        <v>81</v>
      </c>
      <c r="G109">
        <v>634</v>
      </c>
      <c r="H109">
        <v>90.57</v>
      </c>
      <c r="I109">
        <v>7</v>
      </c>
      <c r="J109">
        <v>6</v>
      </c>
      <c r="K109">
        <v>1</v>
      </c>
      <c r="L109">
        <v>261</v>
      </c>
      <c r="M109">
        <v>120</v>
      </c>
      <c r="N109">
        <v>9</v>
      </c>
      <c r="O109">
        <v>53</v>
      </c>
      <c r="P109">
        <v>7</v>
      </c>
      <c r="Q109">
        <v>0</v>
      </c>
      <c r="R109">
        <v>0</v>
      </c>
      <c r="S109">
        <v>3</v>
      </c>
      <c r="T109">
        <v>3</v>
      </c>
      <c r="U109">
        <v>3</v>
      </c>
      <c r="V109">
        <v>3</v>
      </c>
      <c r="W109">
        <v>1</v>
      </c>
      <c r="X109">
        <v>24</v>
      </c>
      <c r="Y109">
        <v>68.599999999999994</v>
      </c>
      <c r="Z109" s="6">
        <v>1508</v>
      </c>
    </row>
    <row r="110" spans="1:26" x14ac:dyDescent="0.25">
      <c r="A110" t="s">
        <v>318</v>
      </c>
      <c r="B110" t="s">
        <v>79</v>
      </c>
      <c r="C110" t="s">
        <v>319</v>
      </c>
      <c r="D110" t="s">
        <v>2</v>
      </c>
      <c r="E110">
        <v>16</v>
      </c>
      <c r="F110" t="s">
        <v>92</v>
      </c>
      <c r="G110">
        <v>164</v>
      </c>
      <c r="H110">
        <v>54.67</v>
      </c>
      <c r="I110">
        <v>3</v>
      </c>
      <c r="J110">
        <v>2</v>
      </c>
      <c r="K110">
        <v>1</v>
      </c>
      <c r="L110">
        <v>117</v>
      </c>
      <c r="M110">
        <v>32</v>
      </c>
      <c r="N110">
        <v>2</v>
      </c>
      <c r="O110">
        <v>27</v>
      </c>
      <c r="P110">
        <v>2</v>
      </c>
      <c r="Q110">
        <v>0</v>
      </c>
      <c r="R110">
        <v>0</v>
      </c>
      <c r="S110">
        <v>1</v>
      </c>
      <c r="T110">
        <v>1</v>
      </c>
      <c r="U110">
        <v>0</v>
      </c>
      <c r="V110">
        <v>0</v>
      </c>
      <c r="W110">
        <v>0</v>
      </c>
      <c r="X110">
        <v>52.7</v>
      </c>
      <c r="Y110">
        <v>70.3</v>
      </c>
      <c r="Z110">
        <v>78</v>
      </c>
    </row>
    <row r="111" spans="1:26" x14ac:dyDescent="0.25">
      <c r="A111" t="s">
        <v>324</v>
      </c>
      <c r="B111" t="s">
        <v>79</v>
      </c>
      <c r="C111" t="s">
        <v>325</v>
      </c>
      <c r="D111" t="s">
        <v>2</v>
      </c>
      <c r="E111">
        <v>12</v>
      </c>
      <c r="F111" t="s">
        <v>103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5">
      <c r="A112" t="s">
        <v>308</v>
      </c>
      <c r="B112" t="s">
        <v>79</v>
      </c>
      <c r="C112" t="s">
        <v>309</v>
      </c>
      <c r="D112" t="s">
        <v>2</v>
      </c>
      <c r="E112">
        <v>1</v>
      </c>
      <c r="F112" t="s">
        <v>81</v>
      </c>
      <c r="G112">
        <v>177.5</v>
      </c>
      <c r="H112">
        <v>59.17</v>
      </c>
      <c r="I112">
        <v>3</v>
      </c>
      <c r="J112">
        <v>3</v>
      </c>
      <c r="K112">
        <v>0</v>
      </c>
      <c r="L112">
        <v>119</v>
      </c>
      <c r="M112">
        <v>43</v>
      </c>
      <c r="N112">
        <v>0</v>
      </c>
      <c r="O112">
        <v>36</v>
      </c>
      <c r="P112">
        <v>0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0</v>
      </c>
      <c r="W112">
        <v>0</v>
      </c>
      <c r="X112">
        <v>37.700000000000003</v>
      </c>
      <c r="Y112">
        <v>71</v>
      </c>
      <c r="Z112">
        <v>124</v>
      </c>
    </row>
    <row r="113" spans="1:26" x14ac:dyDescent="0.25">
      <c r="A113" t="s">
        <v>146</v>
      </c>
      <c r="B113" t="s">
        <v>79</v>
      </c>
      <c r="C113" t="s">
        <v>147</v>
      </c>
      <c r="D113" t="s">
        <v>2</v>
      </c>
      <c r="E113">
        <v>11</v>
      </c>
      <c r="F113" t="s">
        <v>103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 t="s">
        <v>296</v>
      </c>
      <c r="B114" t="s">
        <v>79</v>
      </c>
      <c r="C114" t="s">
        <v>297</v>
      </c>
      <c r="D114" t="s">
        <v>2</v>
      </c>
      <c r="E114">
        <v>3</v>
      </c>
      <c r="F114" t="s">
        <v>81</v>
      </c>
      <c r="G114">
        <v>597.5</v>
      </c>
      <c r="H114">
        <v>59.75</v>
      </c>
      <c r="I114">
        <v>10</v>
      </c>
      <c r="J114">
        <v>7</v>
      </c>
      <c r="K114">
        <v>3</v>
      </c>
      <c r="L114">
        <v>372</v>
      </c>
      <c r="M114">
        <v>135</v>
      </c>
      <c r="N114">
        <v>3</v>
      </c>
      <c r="O114">
        <v>73</v>
      </c>
      <c r="P114">
        <v>10</v>
      </c>
      <c r="Q114">
        <v>1</v>
      </c>
      <c r="R114">
        <v>1</v>
      </c>
      <c r="S114">
        <v>5</v>
      </c>
      <c r="T114">
        <v>1</v>
      </c>
      <c r="U114">
        <v>0</v>
      </c>
      <c r="V114">
        <v>0</v>
      </c>
      <c r="W114">
        <v>0</v>
      </c>
      <c r="X114">
        <v>38.299999999999997</v>
      </c>
      <c r="Y114">
        <v>69.97</v>
      </c>
      <c r="Z114">
        <v>477</v>
      </c>
    </row>
    <row r="115" spans="1:26" x14ac:dyDescent="0.25">
      <c r="A115" t="s">
        <v>304</v>
      </c>
      <c r="B115" t="s">
        <v>79</v>
      </c>
      <c r="C115" t="s">
        <v>305</v>
      </c>
      <c r="D115" t="s">
        <v>2</v>
      </c>
      <c r="E115">
        <v>10</v>
      </c>
      <c r="F115" t="s">
        <v>92</v>
      </c>
      <c r="G115">
        <v>303.5</v>
      </c>
      <c r="H115">
        <v>75.88</v>
      </c>
      <c r="I115">
        <v>4</v>
      </c>
      <c r="J115">
        <v>3</v>
      </c>
      <c r="K115">
        <v>1</v>
      </c>
      <c r="L115">
        <v>153</v>
      </c>
      <c r="M115">
        <v>60</v>
      </c>
      <c r="N115">
        <v>6</v>
      </c>
      <c r="O115">
        <v>32</v>
      </c>
      <c r="P115">
        <v>1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33.799999999999997</v>
      </c>
      <c r="Y115">
        <v>68.430000000000007</v>
      </c>
      <c r="Z115">
        <v>142</v>
      </c>
    </row>
    <row r="116" spans="1:26" x14ac:dyDescent="0.25">
      <c r="A116" t="s">
        <v>334</v>
      </c>
      <c r="B116" t="s">
        <v>79</v>
      </c>
      <c r="C116" t="s">
        <v>335</v>
      </c>
      <c r="D116" t="s">
        <v>4</v>
      </c>
      <c r="E116">
        <v>5</v>
      </c>
      <c r="F116" t="s">
        <v>81</v>
      </c>
      <c r="G116">
        <v>386</v>
      </c>
      <c r="H116">
        <v>55.14</v>
      </c>
      <c r="I116">
        <v>7</v>
      </c>
      <c r="J116">
        <v>4</v>
      </c>
      <c r="K116">
        <v>3</v>
      </c>
      <c r="L116">
        <v>235</v>
      </c>
      <c r="M116">
        <v>81</v>
      </c>
      <c r="N116">
        <v>3</v>
      </c>
      <c r="O116">
        <v>53</v>
      </c>
      <c r="P116">
        <v>4</v>
      </c>
      <c r="Q116">
        <v>2</v>
      </c>
      <c r="R116">
        <v>2</v>
      </c>
      <c r="S116">
        <v>2</v>
      </c>
      <c r="T116">
        <v>1</v>
      </c>
      <c r="U116">
        <v>1</v>
      </c>
      <c r="V116">
        <v>1</v>
      </c>
      <c r="W116">
        <v>0</v>
      </c>
      <c r="X116">
        <v>42.3</v>
      </c>
      <c r="Y116">
        <v>70.48</v>
      </c>
      <c r="Z116">
        <v>432</v>
      </c>
    </row>
    <row r="117" spans="1:26" x14ac:dyDescent="0.25">
      <c r="A117" t="s">
        <v>356</v>
      </c>
      <c r="B117" t="s">
        <v>79</v>
      </c>
      <c r="C117" t="s">
        <v>357</v>
      </c>
      <c r="D117" t="s">
        <v>4</v>
      </c>
      <c r="E117">
        <v>16</v>
      </c>
      <c r="F117" t="s">
        <v>103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 x14ac:dyDescent="0.25">
      <c r="A118" t="s">
        <v>350</v>
      </c>
      <c r="B118" t="s">
        <v>79</v>
      </c>
      <c r="C118" t="s">
        <v>351</v>
      </c>
      <c r="D118" t="s">
        <v>4</v>
      </c>
      <c r="E118">
        <v>7</v>
      </c>
      <c r="F118" t="s">
        <v>92</v>
      </c>
      <c r="G118">
        <v>182</v>
      </c>
      <c r="H118">
        <v>60.67</v>
      </c>
      <c r="I118">
        <v>3</v>
      </c>
      <c r="J118">
        <v>3</v>
      </c>
      <c r="K118">
        <v>0</v>
      </c>
      <c r="L118">
        <v>131</v>
      </c>
      <c r="M118">
        <v>39</v>
      </c>
      <c r="N118">
        <v>1</v>
      </c>
      <c r="O118">
        <v>27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40.299999999999997</v>
      </c>
      <c r="Y118">
        <v>69.64</v>
      </c>
      <c r="Z118">
        <v>47</v>
      </c>
    </row>
    <row r="119" spans="1:26" x14ac:dyDescent="0.25">
      <c r="A119" t="s">
        <v>358</v>
      </c>
      <c r="B119" t="s">
        <v>79</v>
      </c>
      <c r="C119" t="s">
        <v>359</v>
      </c>
      <c r="D119" t="s">
        <v>4</v>
      </c>
      <c r="E119">
        <v>14</v>
      </c>
      <c r="F119" t="s">
        <v>103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362</v>
      </c>
      <c r="B120" t="s">
        <v>79</v>
      </c>
      <c r="C120" t="s">
        <v>363</v>
      </c>
      <c r="D120" t="s">
        <v>4</v>
      </c>
      <c r="E120">
        <v>16</v>
      </c>
      <c r="F120" t="s">
        <v>81</v>
      </c>
      <c r="G120">
        <v>60.5</v>
      </c>
      <c r="H120">
        <v>60.5</v>
      </c>
      <c r="I120">
        <v>1</v>
      </c>
      <c r="J120">
        <v>1</v>
      </c>
      <c r="K120">
        <v>0</v>
      </c>
      <c r="L120">
        <v>49</v>
      </c>
      <c r="M120">
        <v>13</v>
      </c>
      <c r="N120">
        <v>0</v>
      </c>
      <c r="O120">
        <v>10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36</v>
      </c>
      <c r="Y120">
        <v>69.25</v>
      </c>
      <c r="Z120">
        <v>16</v>
      </c>
    </row>
    <row r="121" spans="1:26" x14ac:dyDescent="0.25">
      <c r="A121" t="s">
        <v>346</v>
      </c>
      <c r="B121" t="s">
        <v>79</v>
      </c>
      <c r="C121" t="s">
        <v>347</v>
      </c>
      <c r="D121" t="s">
        <v>4</v>
      </c>
      <c r="E121">
        <v>6</v>
      </c>
      <c r="F121" t="s">
        <v>92</v>
      </c>
      <c r="G121">
        <v>283</v>
      </c>
      <c r="H121">
        <v>56.6</v>
      </c>
      <c r="I121">
        <v>5</v>
      </c>
      <c r="J121">
        <v>2</v>
      </c>
      <c r="K121">
        <v>3</v>
      </c>
      <c r="L121">
        <v>149</v>
      </c>
      <c r="M121">
        <v>65</v>
      </c>
      <c r="N121">
        <v>1</v>
      </c>
      <c r="O121">
        <v>33</v>
      </c>
      <c r="P121">
        <v>4</v>
      </c>
      <c r="Q121">
        <v>0</v>
      </c>
      <c r="R121">
        <v>0</v>
      </c>
      <c r="S121">
        <v>2</v>
      </c>
      <c r="T121">
        <v>2</v>
      </c>
      <c r="U121">
        <v>1</v>
      </c>
      <c r="V121">
        <v>0</v>
      </c>
      <c r="W121">
        <v>0</v>
      </c>
      <c r="X121">
        <v>48</v>
      </c>
      <c r="Y121">
        <v>69.430000000000007</v>
      </c>
      <c r="Z121">
        <v>188</v>
      </c>
    </row>
    <row r="122" spans="1:26" x14ac:dyDescent="0.25">
      <c r="A122" t="s">
        <v>336</v>
      </c>
      <c r="B122" t="s">
        <v>79</v>
      </c>
      <c r="C122" t="s">
        <v>337</v>
      </c>
      <c r="D122" t="s">
        <v>4</v>
      </c>
      <c r="E122">
        <v>3</v>
      </c>
      <c r="F122" t="s">
        <v>81</v>
      </c>
      <c r="G122">
        <v>408</v>
      </c>
      <c r="H122">
        <v>58.29</v>
      </c>
      <c r="I122">
        <v>7</v>
      </c>
      <c r="J122">
        <v>4</v>
      </c>
      <c r="K122">
        <v>3</v>
      </c>
      <c r="L122">
        <v>219</v>
      </c>
      <c r="M122">
        <v>95</v>
      </c>
      <c r="N122">
        <v>3</v>
      </c>
      <c r="O122">
        <v>53</v>
      </c>
      <c r="P122">
        <v>7</v>
      </c>
      <c r="Q122">
        <v>1</v>
      </c>
      <c r="R122">
        <v>1</v>
      </c>
      <c r="S122">
        <v>3</v>
      </c>
      <c r="T122">
        <v>1</v>
      </c>
      <c r="U122">
        <v>1</v>
      </c>
      <c r="V122">
        <v>0</v>
      </c>
      <c r="W122">
        <v>0</v>
      </c>
      <c r="X122">
        <v>41.7</v>
      </c>
      <c r="Y122">
        <v>69.86</v>
      </c>
      <c r="Z122">
        <v>399</v>
      </c>
    </row>
    <row r="123" spans="1:26" x14ac:dyDescent="0.25">
      <c r="A123" t="s">
        <v>338</v>
      </c>
      <c r="B123" t="s">
        <v>79</v>
      </c>
      <c r="C123" t="s">
        <v>339</v>
      </c>
      <c r="D123" t="s">
        <v>4</v>
      </c>
      <c r="E123">
        <v>12</v>
      </c>
      <c r="F123" t="s">
        <v>92</v>
      </c>
      <c r="G123">
        <v>359.5</v>
      </c>
      <c r="H123">
        <v>71.900000000000006</v>
      </c>
      <c r="I123">
        <v>5</v>
      </c>
      <c r="J123">
        <v>5</v>
      </c>
      <c r="K123">
        <v>0</v>
      </c>
      <c r="L123">
        <v>217</v>
      </c>
      <c r="M123">
        <v>87</v>
      </c>
      <c r="N123">
        <v>2</v>
      </c>
      <c r="O123">
        <v>48</v>
      </c>
      <c r="P123">
        <v>5</v>
      </c>
      <c r="Q123">
        <v>1</v>
      </c>
      <c r="R123">
        <v>1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48.6</v>
      </c>
      <c r="Y123">
        <v>69.5</v>
      </c>
      <c r="Z123">
        <v>52</v>
      </c>
    </row>
    <row r="124" spans="1:26" x14ac:dyDescent="0.25">
      <c r="A124" t="s">
        <v>348</v>
      </c>
      <c r="B124" t="s">
        <v>79</v>
      </c>
      <c r="C124" t="s">
        <v>349</v>
      </c>
      <c r="D124" t="s">
        <v>4</v>
      </c>
      <c r="E124">
        <v>9</v>
      </c>
      <c r="F124" t="s">
        <v>92</v>
      </c>
      <c r="G124">
        <v>202.5</v>
      </c>
      <c r="H124">
        <v>67.5</v>
      </c>
      <c r="I124">
        <v>3</v>
      </c>
      <c r="J124">
        <v>3</v>
      </c>
      <c r="K124">
        <v>0</v>
      </c>
      <c r="L124">
        <v>145</v>
      </c>
      <c r="M124">
        <v>45</v>
      </c>
      <c r="N124">
        <v>0</v>
      </c>
      <c r="O124">
        <v>26</v>
      </c>
      <c r="P124">
        <v>0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33</v>
      </c>
      <c r="Y124">
        <v>69.42</v>
      </c>
      <c r="Z124">
        <v>77</v>
      </c>
    </row>
    <row r="125" spans="1:26" x14ac:dyDescent="0.25">
      <c r="A125" t="s">
        <v>352</v>
      </c>
      <c r="B125" t="s">
        <v>79</v>
      </c>
      <c r="C125" t="s">
        <v>353</v>
      </c>
      <c r="D125" t="s">
        <v>4</v>
      </c>
      <c r="E125">
        <v>10</v>
      </c>
      <c r="F125" t="s">
        <v>92</v>
      </c>
      <c r="G125">
        <v>115</v>
      </c>
      <c r="H125">
        <v>38.33</v>
      </c>
      <c r="I125">
        <v>3</v>
      </c>
      <c r="J125">
        <v>1</v>
      </c>
      <c r="K125">
        <v>2</v>
      </c>
      <c r="L125">
        <v>81</v>
      </c>
      <c r="M125">
        <v>31</v>
      </c>
      <c r="N125">
        <v>0</v>
      </c>
      <c r="O125">
        <v>27</v>
      </c>
      <c r="P125">
        <v>5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74.3</v>
      </c>
      <c r="Y125">
        <v>71.5</v>
      </c>
      <c r="Z125">
        <v>2</v>
      </c>
    </row>
    <row r="126" spans="1:26" x14ac:dyDescent="0.25">
      <c r="A126" t="s">
        <v>364</v>
      </c>
      <c r="B126" t="s">
        <v>79</v>
      </c>
      <c r="C126" t="s">
        <v>365</v>
      </c>
      <c r="D126" t="s">
        <v>4</v>
      </c>
      <c r="E126">
        <v>16</v>
      </c>
      <c r="F126" t="s">
        <v>92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 t="s">
        <v>328</v>
      </c>
      <c r="B127" t="s">
        <v>79</v>
      </c>
      <c r="C127" t="s">
        <v>329</v>
      </c>
      <c r="D127" t="s">
        <v>4</v>
      </c>
      <c r="E127">
        <v>4</v>
      </c>
      <c r="F127" t="s">
        <v>81</v>
      </c>
      <c r="G127">
        <v>561.5</v>
      </c>
      <c r="H127">
        <v>70.19</v>
      </c>
      <c r="I127">
        <v>8</v>
      </c>
      <c r="J127">
        <v>7</v>
      </c>
      <c r="K127">
        <v>1</v>
      </c>
      <c r="L127">
        <v>315</v>
      </c>
      <c r="M127">
        <v>130</v>
      </c>
      <c r="N127">
        <v>3</v>
      </c>
      <c r="O127">
        <v>66</v>
      </c>
      <c r="P127">
        <v>6</v>
      </c>
      <c r="Q127">
        <v>2</v>
      </c>
      <c r="R127">
        <v>2</v>
      </c>
      <c r="S127">
        <v>4</v>
      </c>
      <c r="T127">
        <v>2</v>
      </c>
      <c r="U127">
        <v>0</v>
      </c>
      <c r="V127">
        <v>0</v>
      </c>
      <c r="W127">
        <v>0</v>
      </c>
      <c r="X127">
        <v>35.799999999999997</v>
      </c>
      <c r="Y127">
        <v>69.59</v>
      </c>
      <c r="Z127">
        <v>432</v>
      </c>
    </row>
    <row r="128" spans="1:26" x14ac:dyDescent="0.25">
      <c r="A128" t="s">
        <v>342</v>
      </c>
      <c r="B128" t="s">
        <v>79</v>
      </c>
      <c r="C128" t="s">
        <v>343</v>
      </c>
      <c r="D128" t="s">
        <v>4</v>
      </c>
      <c r="E128">
        <v>1</v>
      </c>
      <c r="F128" t="s">
        <v>81</v>
      </c>
      <c r="G128">
        <v>266.5</v>
      </c>
      <c r="H128">
        <v>53.3</v>
      </c>
      <c r="I128">
        <v>5</v>
      </c>
      <c r="J128">
        <v>3</v>
      </c>
      <c r="K128">
        <v>2</v>
      </c>
      <c r="L128">
        <v>158</v>
      </c>
      <c r="M128">
        <v>67</v>
      </c>
      <c r="N128">
        <v>0</v>
      </c>
      <c r="O128">
        <v>39</v>
      </c>
      <c r="P128">
        <v>6</v>
      </c>
      <c r="Q128">
        <v>0</v>
      </c>
      <c r="R128">
        <v>0</v>
      </c>
      <c r="S128">
        <v>2</v>
      </c>
      <c r="T128">
        <v>0</v>
      </c>
      <c r="U128">
        <v>0</v>
      </c>
      <c r="V128">
        <v>0</v>
      </c>
      <c r="W128">
        <v>0</v>
      </c>
      <c r="X128">
        <v>43.2</v>
      </c>
      <c r="Y128">
        <v>70.67</v>
      </c>
      <c r="Z128">
        <v>227</v>
      </c>
    </row>
    <row r="129" spans="1:26" x14ac:dyDescent="0.25">
      <c r="A129" t="s">
        <v>258</v>
      </c>
      <c r="B129" t="s">
        <v>79</v>
      </c>
      <c r="C129" t="s">
        <v>259</v>
      </c>
      <c r="D129" t="s">
        <v>4</v>
      </c>
      <c r="E129">
        <v>16</v>
      </c>
      <c r="F129" t="s">
        <v>92</v>
      </c>
      <c r="G129">
        <v>16.5</v>
      </c>
      <c r="H129">
        <v>16.5</v>
      </c>
      <c r="I129">
        <v>1</v>
      </c>
      <c r="J129">
        <v>0</v>
      </c>
      <c r="K129">
        <v>1</v>
      </c>
      <c r="L129">
        <v>24</v>
      </c>
      <c r="M129">
        <v>3</v>
      </c>
      <c r="N129">
        <v>0</v>
      </c>
      <c r="O129">
        <v>9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83</v>
      </c>
      <c r="Y129">
        <v>73</v>
      </c>
      <c r="Z129">
        <v>0</v>
      </c>
    </row>
    <row r="130" spans="1:26" x14ac:dyDescent="0.25">
      <c r="A130" t="s">
        <v>366</v>
      </c>
      <c r="B130" t="s">
        <v>79</v>
      </c>
      <c r="C130" t="s">
        <v>367</v>
      </c>
      <c r="D130" t="s">
        <v>4</v>
      </c>
      <c r="E130">
        <v>16</v>
      </c>
      <c r="F130" t="s">
        <v>81</v>
      </c>
      <c r="G130">
        <v>58.5</v>
      </c>
      <c r="H130">
        <v>58.5</v>
      </c>
      <c r="I130">
        <v>1</v>
      </c>
      <c r="J130">
        <v>1</v>
      </c>
      <c r="K130">
        <v>0</v>
      </c>
      <c r="L130">
        <v>46</v>
      </c>
      <c r="M130">
        <v>14</v>
      </c>
      <c r="N130">
        <v>0</v>
      </c>
      <c r="O130">
        <v>11</v>
      </c>
      <c r="P130">
        <v>1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53</v>
      </c>
      <c r="Y130">
        <v>69.75</v>
      </c>
      <c r="Z130">
        <v>6</v>
      </c>
    </row>
    <row r="131" spans="1:26" x14ac:dyDescent="0.25">
      <c r="A131" t="s">
        <v>340</v>
      </c>
      <c r="B131" t="s">
        <v>79</v>
      </c>
      <c r="C131" t="s">
        <v>341</v>
      </c>
      <c r="D131" t="s">
        <v>4</v>
      </c>
      <c r="E131">
        <v>8</v>
      </c>
      <c r="F131" t="s">
        <v>81</v>
      </c>
      <c r="G131">
        <v>257.5</v>
      </c>
      <c r="H131">
        <v>64.38</v>
      </c>
      <c r="I131">
        <v>4</v>
      </c>
      <c r="J131">
        <v>3</v>
      </c>
      <c r="K131">
        <v>1</v>
      </c>
      <c r="L131">
        <v>159</v>
      </c>
      <c r="M131">
        <v>52</v>
      </c>
      <c r="N131">
        <v>2</v>
      </c>
      <c r="O131">
        <v>36</v>
      </c>
      <c r="P131">
        <v>2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0</v>
      </c>
      <c r="X131">
        <v>38</v>
      </c>
      <c r="Y131">
        <v>70.5</v>
      </c>
      <c r="Z131">
        <v>326</v>
      </c>
    </row>
    <row r="132" spans="1:26" x14ac:dyDescent="0.25">
      <c r="A132" t="s">
        <v>354</v>
      </c>
      <c r="B132" t="s">
        <v>79</v>
      </c>
      <c r="C132" t="s">
        <v>355</v>
      </c>
      <c r="D132" t="s">
        <v>4</v>
      </c>
      <c r="E132">
        <v>16</v>
      </c>
      <c r="F132" t="s">
        <v>92</v>
      </c>
      <c r="G132">
        <v>57</v>
      </c>
      <c r="H132">
        <v>28.5</v>
      </c>
      <c r="I132">
        <v>2</v>
      </c>
      <c r="J132">
        <v>0</v>
      </c>
      <c r="K132">
        <v>2</v>
      </c>
      <c r="L132">
        <v>45</v>
      </c>
      <c r="M132">
        <v>14</v>
      </c>
      <c r="N132">
        <v>0</v>
      </c>
      <c r="O132">
        <v>11</v>
      </c>
      <c r="P132">
        <v>2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75.5</v>
      </c>
      <c r="Y132">
        <v>71.25</v>
      </c>
      <c r="Z132">
        <v>0</v>
      </c>
    </row>
    <row r="133" spans="1:26" x14ac:dyDescent="0.25">
      <c r="A133" t="s">
        <v>330</v>
      </c>
      <c r="B133" t="s">
        <v>79</v>
      </c>
      <c r="C133" t="s">
        <v>331</v>
      </c>
      <c r="D133" t="s">
        <v>4</v>
      </c>
      <c r="E133">
        <v>2</v>
      </c>
      <c r="F133" t="s">
        <v>81</v>
      </c>
      <c r="G133">
        <v>395</v>
      </c>
      <c r="H133">
        <v>65.83</v>
      </c>
      <c r="I133">
        <v>6</v>
      </c>
      <c r="J133">
        <v>5</v>
      </c>
      <c r="K133">
        <v>1</v>
      </c>
      <c r="L133">
        <v>241</v>
      </c>
      <c r="M133">
        <v>91</v>
      </c>
      <c r="N133">
        <v>3</v>
      </c>
      <c r="O133">
        <v>55</v>
      </c>
      <c r="P133">
        <v>5</v>
      </c>
      <c r="Q133">
        <v>1</v>
      </c>
      <c r="R133">
        <v>1</v>
      </c>
      <c r="S133">
        <v>2</v>
      </c>
      <c r="T133">
        <v>0</v>
      </c>
      <c r="U133">
        <v>0</v>
      </c>
      <c r="V133">
        <v>0</v>
      </c>
      <c r="W133">
        <v>0</v>
      </c>
      <c r="X133">
        <v>42.3</v>
      </c>
      <c r="Y133">
        <v>70.14</v>
      </c>
      <c r="Z133">
        <v>160</v>
      </c>
    </row>
    <row r="134" spans="1:26" x14ac:dyDescent="0.25">
      <c r="A134" t="s">
        <v>344</v>
      </c>
      <c r="B134" t="s">
        <v>79</v>
      </c>
      <c r="C134" t="s">
        <v>345</v>
      </c>
      <c r="D134" t="s">
        <v>4</v>
      </c>
      <c r="E134">
        <v>11</v>
      </c>
      <c r="F134" t="s">
        <v>92</v>
      </c>
      <c r="G134">
        <v>170.5</v>
      </c>
      <c r="H134">
        <v>56.83</v>
      </c>
      <c r="I134">
        <v>3</v>
      </c>
      <c r="J134">
        <v>1</v>
      </c>
      <c r="K134">
        <v>2</v>
      </c>
      <c r="L134">
        <v>89</v>
      </c>
      <c r="M134">
        <v>42</v>
      </c>
      <c r="N134">
        <v>2</v>
      </c>
      <c r="O134">
        <v>24</v>
      </c>
      <c r="P134">
        <v>5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59</v>
      </c>
      <c r="Y134">
        <v>70.44</v>
      </c>
      <c r="Z134">
        <v>11</v>
      </c>
    </row>
    <row r="135" spans="1:26" x14ac:dyDescent="0.25">
      <c r="A135" t="s">
        <v>332</v>
      </c>
      <c r="B135" t="s">
        <v>79</v>
      </c>
      <c r="C135" t="s">
        <v>333</v>
      </c>
      <c r="D135" t="s">
        <v>4</v>
      </c>
      <c r="E135">
        <v>13</v>
      </c>
      <c r="F135" t="s">
        <v>92</v>
      </c>
      <c r="G135">
        <v>447</v>
      </c>
      <c r="H135">
        <v>63.86</v>
      </c>
      <c r="I135">
        <v>7</v>
      </c>
      <c r="J135">
        <v>5</v>
      </c>
      <c r="K135">
        <v>2</v>
      </c>
      <c r="L135">
        <v>269</v>
      </c>
      <c r="M135">
        <v>105</v>
      </c>
      <c r="N135">
        <v>2</v>
      </c>
      <c r="O135">
        <v>49</v>
      </c>
      <c r="P135">
        <v>7</v>
      </c>
      <c r="Q135">
        <v>0</v>
      </c>
      <c r="R135">
        <v>0</v>
      </c>
      <c r="S135">
        <v>3</v>
      </c>
      <c r="T135">
        <v>0</v>
      </c>
      <c r="U135">
        <v>0</v>
      </c>
      <c r="V135">
        <v>0</v>
      </c>
      <c r="W135">
        <v>0</v>
      </c>
      <c r="X135">
        <v>46.7</v>
      </c>
      <c r="Y135">
        <v>69</v>
      </c>
      <c r="Z135">
        <v>122</v>
      </c>
    </row>
    <row r="136" spans="1:26" x14ac:dyDescent="0.25">
      <c r="A136" t="s">
        <v>106</v>
      </c>
      <c r="B136" t="s">
        <v>79</v>
      </c>
      <c r="C136" t="s">
        <v>107</v>
      </c>
      <c r="D136" t="s">
        <v>1</v>
      </c>
      <c r="E136">
        <v>16</v>
      </c>
      <c r="F136" t="s">
        <v>103</v>
      </c>
      <c r="G136">
        <v>79.5</v>
      </c>
      <c r="H136">
        <v>39.75</v>
      </c>
      <c r="I136">
        <v>2</v>
      </c>
      <c r="J136">
        <v>1</v>
      </c>
      <c r="K136">
        <v>1</v>
      </c>
      <c r="L136">
        <v>66</v>
      </c>
      <c r="M136">
        <v>19</v>
      </c>
      <c r="N136">
        <v>0</v>
      </c>
      <c r="O136">
        <v>23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58</v>
      </c>
      <c r="Y136">
        <v>71.67</v>
      </c>
      <c r="Z136">
        <v>13</v>
      </c>
    </row>
    <row r="137" spans="1:26" x14ac:dyDescent="0.25">
      <c r="A137" t="s">
        <v>110</v>
      </c>
      <c r="B137" t="s">
        <v>79</v>
      </c>
      <c r="C137" t="s">
        <v>111</v>
      </c>
      <c r="D137" t="s">
        <v>1</v>
      </c>
      <c r="E137">
        <v>12</v>
      </c>
      <c r="F137" t="s">
        <v>103</v>
      </c>
      <c r="G137">
        <v>64.5</v>
      </c>
      <c r="H137">
        <v>64.5</v>
      </c>
      <c r="I137">
        <v>1</v>
      </c>
      <c r="J137">
        <v>0</v>
      </c>
      <c r="K137">
        <v>1</v>
      </c>
      <c r="L137">
        <v>33</v>
      </c>
      <c r="M137">
        <v>17</v>
      </c>
      <c r="N137">
        <v>0</v>
      </c>
      <c r="O137">
        <v>2</v>
      </c>
      <c r="P137">
        <v>2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68</v>
      </c>
      <c r="Y137">
        <v>68.33</v>
      </c>
      <c r="Z137">
        <v>0</v>
      </c>
    </row>
    <row r="138" spans="1:26" x14ac:dyDescent="0.25">
      <c r="A138" t="s">
        <v>82</v>
      </c>
      <c r="B138" t="s">
        <v>79</v>
      </c>
      <c r="C138" t="s">
        <v>83</v>
      </c>
      <c r="D138" t="s">
        <v>1</v>
      </c>
      <c r="E138">
        <v>7</v>
      </c>
      <c r="F138" t="s">
        <v>92</v>
      </c>
      <c r="G138">
        <v>491</v>
      </c>
      <c r="H138">
        <v>81.83</v>
      </c>
      <c r="I138">
        <v>6</v>
      </c>
      <c r="J138">
        <v>5</v>
      </c>
      <c r="K138">
        <v>1</v>
      </c>
      <c r="L138">
        <v>240</v>
      </c>
      <c r="M138">
        <v>108</v>
      </c>
      <c r="N138">
        <v>3</v>
      </c>
      <c r="O138">
        <v>60</v>
      </c>
      <c r="P138">
        <v>1</v>
      </c>
      <c r="Q138">
        <v>1</v>
      </c>
      <c r="R138">
        <v>2</v>
      </c>
      <c r="S138">
        <v>4</v>
      </c>
      <c r="T138">
        <v>2</v>
      </c>
      <c r="U138">
        <v>2</v>
      </c>
      <c r="V138">
        <v>1</v>
      </c>
      <c r="W138">
        <v>0</v>
      </c>
      <c r="X138">
        <v>29.8</v>
      </c>
      <c r="Y138">
        <v>69.39</v>
      </c>
      <c r="Z138">
        <v>579</v>
      </c>
    </row>
    <row r="139" spans="1:26" x14ac:dyDescent="0.25">
      <c r="A139" t="s">
        <v>93</v>
      </c>
      <c r="B139" t="s">
        <v>79</v>
      </c>
      <c r="C139" t="s">
        <v>94</v>
      </c>
      <c r="D139" t="s">
        <v>1</v>
      </c>
      <c r="E139">
        <v>10</v>
      </c>
      <c r="F139" t="s">
        <v>92</v>
      </c>
      <c r="G139">
        <v>366</v>
      </c>
      <c r="H139">
        <v>73.2</v>
      </c>
      <c r="I139">
        <v>5</v>
      </c>
      <c r="J139">
        <v>5</v>
      </c>
      <c r="K139">
        <v>0</v>
      </c>
      <c r="L139">
        <v>236</v>
      </c>
      <c r="M139">
        <v>70</v>
      </c>
      <c r="N139">
        <v>5</v>
      </c>
      <c r="O139">
        <v>30</v>
      </c>
      <c r="P139">
        <v>1</v>
      </c>
      <c r="Q139">
        <v>0</v>
      </c>
      <c r="R139">
        <v>0</v>
      </c>
      <c r="S139">
        <v>2</v>
      </c>
      <c r="T139">
        <v>0</v>
      </c>
      <c r="U139">
        <v>0</v>
      </c>
      <c r="V139">
        <v>0</v>
      </c>
      <c r="W139">
        <v>0</v>
      </c>
      <c r="X139">
        <v>31.4</v>
      </c>
      <c r="Y139">
        <v>68.42</v>
      </c>
      <c r="Z139">
        <v>172</v>
      </c>
    </row>
    <row r="140" spans="1:26" x14ac:dyDescent="0.25">
      <c r="A140" t="s">
        <v>78</v>
      </c>
      <c r="B140" t="s">
        <v>79</v>
      </c>
      <c r="C140" t="s">
        <v>80</v>
      </c>
      <c r="D140" t="s">
        <v>1</v>
      </c>
      <c r="E140">
        <v>5</v>
      </c>
      <c r="F140" t="s">
        <v>92</v>
      </c>
      <c r="G140">
        <v>602</v>
      </c>
      <c r="H140">
        <v>86</v>
      </c>
      <c r="I140">
        <v>7</v>
      </c>
      <c r="J140">
        <v>7</v>
      </c>
      <c r="K140">
        <v>0</v>
      </c>
      <c r="L140">
        <v>303</v>
      </c>
      <c r="M140">
        <v>114</v>
      </c>
      <c r="N140">
        <v>7</v>
      </c>
      <c r="O140">
        <v>57</v>
      </c>
      <c r="P140">
        <v>5</v>
      </c>
      <c r="Q140">
        <v>0</v>
      </c>
      <c r="R140">
        <v>0</v>
      </c>
      <c r="S140">
        <v>5</v>
      </c>
      <c r="T140">
        <v>2</v>
      </c>
      <c r="U140">
        <v>1</v>
      </c>
      <c r="V140">
        <v>1</v>
      </c>
      <c r="W140">
        <v>1</v>
      </c>
      <c r="X140">
        <v>22.1</v>
      </c>
      <c r="Y140">
        <v>69.150000000000006</v>
      </c>
      <c r="Z140" s="6">
        <v>1213</v>
      </c>
    </row>
    <row r="141" spans="1:26" x14ac:dyDescent="0.25">
      <c r="A141" t="s">
        <v>88</v>
      </c>
      <c r="B141" t="s">
        <v>79</v>
      </c>
      <c r="C141" t="s">
        <v>89</v>
      </c>
      <c r="D141" t="s">
        <v>1</v>
      </c>
      <c r="E141">
        <v>1</v>
      </c>
      <c r="F141" t="s">
        <v>81</v>
      </c>
      <c r="G141">
        <v>424.5</v>
      </c>
      <c r="H141">
        <v>70.75</v>
      </c>
      <c r="I141">
        <v>6</v>
      </c>
      <c r="J141">
        <v>6</v>
      </c>
      <c r="K141">
        <v>0</v>
      </c>
      <c r="L141">
        <v>252</v>
      </c>
      <c r="M141">
        <v>97</v>
      </c>
      <c r="N141">
        <v>2</v>
      </c>
      <c r="O141">
        <v>61</v>
      </c>
      <c r="P141">
        <v>2</v>
      </c>
      <c r="Q141">
        <v>0</v>
      </c>
      <c r="R141">
        <v>0</v>
      </c>
      <c r="S141">
        <v>2</v>
      </c>
      <c r="T141">
        <v>1</v>
      </c>
      <c r="U141">
        <v>1</v>
      </c>
      <c r="V141">
        <v>0</v>
      </c>
      <c r="W141">
        <v>0</v>
      </c>
      <c r="X141">
        <v>37.799999999999997</v>
      </c>
      <c r="Y141">
        <v>70.260000000000005</v>
      </c>
      <c r="Z141">
        <v>494</v>
      </c>
    </row>
    <row r="142" spans="1:26" x14ac:dyDescent="0.25">
      <c r="A142" t="s">
        <v>108</v>
      </c>
      <c r="B142" t="s">
        <v>79</v>
      </c>
      <c r="C142" t="s">
        <v>109</v>
      </c>
      <c r="D142" t="s">
        <v>1</v>
      </c>
      <c r="E142">
        <v>13</v>
      </c>
      <c r="F142" t="s">
        <v>103</v>
      </c>
      <c r="G142">
        <v>67.5</v>
      </c>
      <c r="H142">
        <v>67.5</v>
      </c>
      <c r="I142">
        <v>1</v>
      </c>
      <c r="J142">
        <v>1</v>
      </c>
      <c r="K142">
        <v>0</v>
      </c>
      <c r="L142">
        <v>48</v>
      </c>
      <c r="M142">
        <v>16</v>
      </c>
      <c r="N142">
        <v>0</v>
      </c>
      <c r="O142">
        <v>7</v>
      </c>
      <c r="P142">
        <v>1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52</v>
      </c>
      <c r="Y142">
        <v>68.25</v>
      </c>
      <c r="Z142">
        <v>7</v>
      </c>
    </row>
    <row r="143" spans="1:26" x14ac:dyDescent="0.25">
      <c r="A143" t="s">
        <v>84</v>
      </c>
      <c r="B143" t="s">
        <v>79</v>
      </c>
      <c r="C143" t="s">
        <v>85</v>
      </c>
      <c r="D143" t="s">
        <v>1</v>
      </c>
      <c r="E143">
        <v>4</v>
      </c>
      <c r="F143" t="s">
        <v>81</v>
      </c>
      <c r="G143">
        <v>501</v>
      </c>
      <c r="H143">
        <v>71.569999999999993</v>
      </c>
      <c r="I143">
        <v>7</v>
      </c>
      <c r="J143">
        <v>7</v>
      </c>
      <c r="K143">
        <v>0</v>
      </c>
      <c r="L143">
        <v>309</v>
      </c>
      <c r="M143">
        <v>107</v>
      </c>
      <c r="N143">
        <v>5</v>
      </c>
      <c r="O143">
        <v>59</v>
      </c>
      <c r="P143">
        <v>6</v>
      </c>
      <c r="Q143">
        <v>0</v>
      </c>
      <c r="R143">
        <v>0</v>
      </c>
      <c r="S143">
        <v>3</v>
      </c>
      <c r="T143">
        <v>0</v>
      </c>
      <c r="U143">
        <v>0</v>
      </c>
      <c r="V143">
        <v>0</v>
      </c>
      <c r="W143">
        <v>0</v>
      </c>
      <c r="X143">
        <v>30.3</v>
      </c>
      <c r="Y143">
        <v>69.56</v>
      </c>
      <c r="Z143">
        <v>378</v>
      </c>
    </row>
    <row r="144" spans="1:26" x14ac:dyDescent="0.25">
      <c r="A144" t="s">
        <v>97</v>
      </c>
      <c r="B144" t="s">
        <v>79</v>
      </c>
      <c r="C144" t="s">
        <v>98</v>
      </c>
      <c r="D144" t="s">
        <v>1</v>
      </c>
      <c r="E144">
        <v>3</v>
      </c>
      <c r="F144" t="s">
        <v>92</v>
      </c>
      <c r="G144">
        <v>234</v>
      </c>
      <c r="H144">
        <v>58.5</v>
      </c>
      <c r="I144">
        <v>4</v>
      </c>
      <c r="J144">
        <v>3</v>
      </c>
      <c r="K144">
        <v>1</v>
      </c>
      <c r="L144">
        <v>142</v>
      </c>
      <c r="M144">
        <v>52</v>
      </c>
      <c r="N144">
        <v>2</v>
      </c>
      <c r="O144">
        <v>36</v>
      </c>
      <c r="P144">
        <v>0</v>
      </c>
      <c r="Q144">
        <v>2</v>
      </c>
      <c r="R144">
        <v>2</v>
      </c>
      <c r="S144">
        <v>1</v>
      </c>
      <c r="T144">
        <v>1</v>
      </c>
      <c r="U144">
        <v>0</v>
      </c>
      <c r="V144">
        <v>0</v>
      </c>
      <c r="W144">
        <v>0</v>
      </c>
      <c r="X144">
        <v>33.799999999999997</v>
      </c>
      <c r="Y144">
        <v>70.77</v>
      </c>
      <c r="Z144">
        <v>203</v>
      </c>
    </row>
    <row r="145" spans="1:26" x14ac:dyDescent="0.25">
      <c r="A145" t="s">
        <v>360</v>
      </c>
      <c r="B145" t="s">
        <v>79</v>
      </c>
      <c r="C145" t="s">
        <v>361</v>
      </c>
      <c r="D145" t="s">
        <v>1</v>
      </c>
      <c r="E145">
        <v>16</v>
      </c>
      <c r="F145" t="s">
        <v>92</v>
      </c>
      <c r="G145">
        <v>24.5</v>
      </c>
      <c r="H145">
        <v>24.5</v>
      </c>
      <c r="I145">
        <v>1</v>
      </c>
      <c r="J145">
        <v>0</v>
      </c>
      <c r="K145">
        <v>1</v>
      </c>
      <c r="L145">
        <v>18</v>
      </c>
      <c r="M145">
        <v>7</v>
      </c>
      <c r="N145">
        <v>0</v>
      </c>
      <c r="O145">
        <v>11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83</v>
      </c>
      <c r="Y145">
        <v>72</v>
      </c>
      <c r="Z145">
        <v>0</v>
      </c>
    </row>
    <row r="146" spans="1:26" x14ac:dyDescent="0.25">
      <c r="A146" t="s">
        <v>99</v>
      </c>
      <c r="B146" t="s">
        <v>79</v>
      </c>
      <c r="C146" t="s">
        <v>100</v>
      </c>
      <c r="D146" t="s">
        <v>1</v>
      </c>
      <c r="E146">
        <v>14</v>
      </c>
      <c r="F146" t="s">
        <v>81</v>
      </c>
      <c r="G146">
        <v>254</v>
      </c>
      <c r="H146">
        <v>50.8</v>
      </c>
      <c r="I146">
        <v>5</v>
      </c>
      <c r="J146">
        <v>2</v>
      </c>
      <c r="K146">
        <v>3</v>
      </c>
      <c r="L146">
        <v>166</v>
      </c>
      <c r="M146">
        <v>62</v>
      </c>
      <c r="N146">
        <v>0</v>
      </c>
      <c r="O146">
        <v>34</v>
      </c>
      <c r="P146">
        <v>8</v>
      </c>
      <c r="Q146">
        <v>0</v>
      </c>
      <c r="R146">
        <v>0</v>
      </c>
      <c r="S146">
        <v>1</v>
      </c>
      <c r="T146">
        <v>1</v>
      </c>
      <c r="U146">
        <v>0</v>
      </c>
      <c r="V146">
        <v>0</v>
      </c>
      <c r="W146">
        <v>0</v>
      </c>
      <c r="X146">
        <v>51.4</v>
      </c>
      <c r="Y146">
        <v>70.400000000000006</v>
      </c>
      <c r="Z146">
        <v>89</v>
      </c>
    </row>
    <row r="147" spans="1:26" x14ac:dyDescent="0.25">
      <c r="A147" t="s">
        <v>118</v>
      </c>
      <c r="B147" t="s">
        <v>79</v>
      </c>
      <c r="C147" t="s">
        <v>119</v>
      </c>
      <c r="D147" t="s">
        <v>1</v>
      </c>
      <c r="E147">
        <v>9</v>
      </c>
      <c r="F147" t="s">
        <v>92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95</v>
      </c>
      <c r="B148" t="s">
        <v>79</v>
      </c>
      <c r="C148" t="s">
        <v>96</v>
      </c>
      <c r="D148" t="s">
        <v>1</v>
      </c>
      <c r="E148">
        <v>16</v>
      </c>
      <c r="F148" t="s">
        <v>92</v>
      </c>
      <c r="G148">
        <v>260.5</v>
      </c>
      <c r="H148">
        <v>86.83</v>
      </c>
      <c r="I148">
        <v>3</v>
      </c>
      <c r="J148">
        <v>2</v>
      </c>
      <c r="K148">
        <v>1</v>
      </c>
      <c r="L148">
        <v>107</v>
      </c>
      <c r="M148">
        <v>51</v>
      </c>
      <c r="N148">
        <v>0</v>
      </c>
      <c r="O148">
        <v>20</v>
      </c>
      <c r="P148">
        <v>2</v>
      </c>
      <c r="Q148">
        <v>0</v>
      </c>
      <c r="R148">
        <v>0</v>
      </c>
      <c r="S148">
        <v>2</v>
      </c>
      <c r="T148">
        <v>2</v>
      </c>
      <c r="U148">
        <v>2</v>
      </c>
      <c r="V148">
        <v>1</v>
      </c>
      <c r="W148">
        <v>1</v>
      </c>
      <c r="X148">
        <v>29.3</v>
      </c>
      <c r="Y148">
        <v>68.099999999999994</v>
      </c>
      <c r="Z148">
        <v>604</v>
      </c>
    </row>
    <row r="149" spans="1:26" x14ac:dyDescent="0.25">
      <c r="A149" t="s">
        <v>90</v>
      </c>
      <c r="B149" t="s">
        <v>79</v>
      </c>
      <c r="C149" t="s">
        <v>91</v>
      </c>
      <c r="D149" t="s">
        <v>1</v>
      </c>
      <c r="E149">
        <v>6</v>
      </c>
      <c r="F149" t="s">
        <v>92</v>
      </c>
      <c r="G149">
        <v>312.5</v>
      </c>
      <c r="H149">
        <v>62.5</v>
      </c>
      <c r="I149">
        <v>5</v>
      </c>
      <c r="J149">
        <v>4</v>
      </c>
      <c r="K149">
        <v>1</v>
      </c>
      <c r="L149">
        <v>191</v>
      </c>
      <c r="M149">
        <v>73</v>
      </c>
      <c r="N149">
        <v>1</v>
      </c>
      <c r="O149">
        <v>36</v>
      </c>
      <c r="P149">
        <v>5</v>
      </c>
      <c r="Q149">
        <v>0</v>
      </c>
      <c r="R149">
        <v>0</v>
      </c>
      <c r="S149">
        <v>2</v>
      </c>
      <c r="T149">
        <v>0</v>
      </c>
      <c r="U149">
        <v>0</v>
      </c>
      <c r="V149">
        <v>0</v>
      </c>
      <c r="W149">
        <v>0</v>
      </c>
      <c r="X149">
        <v>36</v>
      </c>
      <c r="Y149">
        <v>69.239999999999995</v>
      </c>
      <c r="Z149">
        <v>150</v>
      </c>
    </row>
    <row r="150" spans="1:26" x14ac:dyDescent="0.25">
      <c r="A150" t="s">
        <v>101</v>
      </c>
      <c r="B150" t="s">
        <v>79</v>
      </c>
      <c r="C150" t="s">
        <v>102</v>
      </c>
      <c r="D150" t="s">
        <v>1</v>
      </c>
      <c r="E150">
        <v>15</v>
      </c>
      <c r="F150" t="s">
        <v>103</v>
      </c>
      <c r="G150">
        <v>167</v>
      </c>
      <c r="H150">
        <v>55.67</v>
      </c>
      <c r="I150">
        <v>3</v>
      </c>
      <c r="J150">
        <v>2</v>
      </c>
      <c r="K150">
        <v>1</v>
      </c>
      <c r="L150">
        <v>110</v>
      </c>
      <c r="M150">
        <v>37</v>
      </c>
      <c r="N150">
        <v>2</v>
      </c>
      <c r="O150">
        <v>28</v>
      </c>
      <c r="P150">
        <v>3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56</v>
      </c>
      <c r="Y150">
        <v>69.7</v>
      </c>
      <c r="Z150">
        <v>28</v>
      </c>
    </row>
    <row r="151" spans="1:26" x14ac:dyDescent="0.25">
      <c r="A151" t="s">
        <v>86</v>
      </c>
      <c r="B151" t="s">
        <v>79</v>
      </c>
      <c r="C151" t="s">
        <v>87</v>
      </c>
      <c r="D151" t="s">
        <v>1</v>
      </c>
      <c r="E151">
        <v>2</v>
      </c>
      <c r="F151" t="s">
        <v>81</v>
      </c>
      <c r="G151">
        <v>479</v>
      </c>
      <c r="H151">
        <v>68.430000000000007</v>
      </c>
      <c r="I151">
        <v>7</v>
      </c>
      <c r="J151">
        <v>6</v>
      </c>
      <c r="K151">
        <v>1</v>
      </c>
      <c r="L151">
        <v>283</v>
      </c>
      <c r="M151">
        <v>100</v>
      </c>
      <c r="N151">
        <v>6</v>
      </c>
      <c r="O151">
        <v>75</v>
      </c>
      <c r="P151">
        <v>4</v>
      </c>
      <c r="Q151">
        <v>0</v>
      </c>
      <c r="R151">
        <v>0</v>
      </c>
      <c r="S151">
        <v>2</v>
      </c>
      <c r="T151">
        <v>1</v>
      </c>
      <c r="U151">
        <v>1</v>
      </c>
      <c r="V151">
        <v>1</v>
      </c>
      <c r="W151">
        <v>0</v>
      </c>
      <c r="X151">
        <v>44.7</v>
      </c>
      <c r="Y151">
        <v>70.5</v>
      </c>
      <c r="Z151">
        <v>324</v>
      </c>
    </row>
    <row r="152" spans="1:26" x14ac:dyDescent="0.25">
      <c r="A152" t="s">
        <v>116</v>
      </c>
      <c r="B152" t="s">
        <v>79</v>
      </c>
      <c r="C152" t="s">
        <v>117</v>
      </c>
      <c r="D152" t="s">
        <v>1</v>
      </c>
      <c r="E152">
        <v>16</v>
      </c>
      <c r="F152" t="s">
        <v>92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 x14ac:dyDescent="0.25">
      <c r="A153" t="s">
        <v>112</v>
      </c>
      <c r="B153" t="s">
        <v>79</v>
      </c>
      <c r="C153" t="s">
        <v>113</v>
      </c>
      <c r="D153" t="s">
        <v>1</v>
      </c>
      <c r="E153">
        <v>16</v>
      </c>
      <c r="F153" t="s">
        <v>81</v>
      </c>
      <c r="G153">
        <v>54</v>
      </c>
      <c r="H153">
        <v>27</v>
      </c>
      <c r="I153">
        <v>2</v>
      </c>
      <c r="J153">
        <v>0</v>
      </c>
      <c r="K153">
        <v>2</v>
      </c>
      <c r="L153">
        <v>45</v>
      </c>
      <c r="M153">
        <v>13</v>
      </c>
      <c r="N153">
        <v>0</v>
      </c>
      <c r="O153">
        <v>13</v>
      </c>
      <c r="P153">
        <v>1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73.5</v>
      </c>
      <c r="Y153">
        <v>71.5</v>
      </c>
      <c r="Z153">
        <v>0</v>
      </c>
    </row>
    <row r="154" spans="1:26" x14ac:dyDescent="0.25">
      <c r="A154" t="s">
        <v>324</v>
      </c>
      <c r="B154" t="s">
        <v>79</v>
      </c>
      <c r="C154" t="s">
        <v>325</v>
      </c>
      <c r="D154" t="s">
        <v>1</v>
      </c>
      <c r="E154">
        <v>16</v>
      </c>
      <c r="F154" t="s">
        <v>81</v>
      </c>
      <c r="G154">
        <v>63</v>
      </c>
      <c r="H154">
        <v>63</v>
      </c>
      <c r="I154">
        <v>1</v>
      </c>
      <c r="J154">
        <v>1</v>
      </c>
      <c r="K154">
        <v>0</v>
      </c>
      <c r="L154">
        <v>47</v>
      </c>
      <c r="M154">
        <v>14</v>
      </c>
      <c r="N154">
        <v>0</v>
      </c>
      <c r="O154">
        <v>11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26</v>
      </c>
      <c r="Y154">
        <v>70.25</v>
      </c>
      <c r="Z154">
        <v>30</v>
      </c>
    </row>
    <row r="155" spans="1:26" x14ac:dyDescent="0.25">
      <c r="A155" t="s">
        <v>104</v>
      </c>
      <c r="B155" t="s">
        <v>79</v>
      </c>
      <c r="C155" t="s">
        <v>105</v>
      </c>
      <c r="D155" t="s">
        <v>1</v>
      </c>
      <c r="E155">
        <v>11</v>
      </c>
      <c r="F155" t="s">
        <v>92</v>
      </c>
      <c r="G155">
        <v>140</v>
      </c>
      <c r="H155">
        <v>70</v>
      </c>
      <c r="I155">
        <v>2</v>
      </c>
      <c r="J155">
        <v>2</v>
      </c>
      <c r="K155">
        <v>0</v>
      </c>
      <c r="L155">
        <v>92</v>
      </c>
      <c r="M155">
        <v>31</v>
      </c>
      <c r="N155">
        <v>1</v>
      </c>
      <c r="O155">
        <v>18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37.5</v>
      </c>
      <c r="Y155">
        <v>70.13</v>
      </c>
      <c r="Z155">
        <v>32</v>
      </c>
    </row>
    <row r="156" spans="1:26" x14ac:dyDescent="0.25">
      <c r="A156" t="s">
        <v>114</v>
      </c>
      <c r="B156" t="s">
        <v>79</v>
      </c>
      <c r="C156" t="s">
        <v>115</v>
      </c>
      <c r="D156" t="s">
        <v>1</v>
      </c>
      <c r="E156">
        <v>8</v>
      </c>
      <c r="F156" t="s">
        <v>103</v>
      </c>
      <c r="G156">
        <v>29.5</v>
      </c>
      <c r="H156">
        <v>29.5</v>
      </c>
      <c r="I156">
        <v>1</v>
      </c>
      <c r="J156">
        <v>0</v>
      </c>
      <c r="K156">
        <v>1</v>
      </c>
      <c r="L156">
        <v>23</v>
      </c>
      <c r="M156">
        <v>7</v>
      </c>
      <c r="N156">
        <v>0</v>
      </c>
      <c r="O156">
        <v>6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66</v>
      </c>
      <c r="Y156">
        <v>70.5</v>
      </c>
      <c r="Z156">
        <v>0</v>
      </c>
    </row>
  </sheetData>
  <sortState xmlns:xlrd2="http://schemas.microsoft.com/office/spreadsheetml/2017/richdata2" ref="A2:Z156">
    <sortCondition ref="D2:D156"/>
    <sortCondition ref="A2:A156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2024-04-08T03:18:31Z</dcterms:modified>
</cp:coreProperties>
</file>